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órico de Pagamentos" sheetId="1" r:id="rId4"/>
    <sheet state="visible" name="Rateio e Estimativa somente lei" sheetId="2" r:id="rId5"/>
    <sheet state="visible" name="Cenário Venda" sheetId="3" r:id="rId6"/>
    <sheet state="hidden" name="Lançamentos perdidos (análise F" sheetId="4" r:id="rId7"/>
  </sheets>
  <definedNames>
    <definedName hidden="1" localSheetId="0" name="_xlnm._FilterDatabase">'Histórico de Pagamentos'!$A$1:$E$454</definedName>
    <definedName hidden="1" localSheetId="3" name="_xlnm._FilterDatabase">'Lançamentos perdidos (análise F'!$A$1:$E$385</definedName>
    <definedName hidden="1" localSheetId="0" name="Z_C4B8E6D9_615B_4075_B9AC_ADFFBDD99697_.wvu.FilterData">'Histórico de Pagamentos'!$A$1:$I$454</definedName>
    <definedName hidden="1" localSheetId="3" name="Z_C4B8E6D9_615B_4075_B9AC_ADFFBDD99697_.wvu.FilterData">'Lançamentos perdidos (análise F'!$A$1:$F$385</definedName>
  </definedNames>
  <calcPr/>
  <customWorkbookViews>
    <customWorkbookView activeSheetId="0" maximized="1" windowHeight="0" windowWidth="0" guid="{C4B8E6D9-615B-4075-B9AC-ADFFBDD99697}" name="Filtro 1"/>
  </customWorkbookViews>
  <extLst>
    <ext uri="GoogleSheetsCustomDataVersion2">
      <go:sheetsCustomData xmlns:go="http://customooxmlschemas.google.com/" r:id="rId8" roundtripDataChecksum="Y10CA3f/PEMTV8SnuItnIVIV65R/QtG2vLuKw+nE/fM="/>
    </ext>
  </extLst>
</workbook>
</file>

<file path=xl/sharedStrings.xml><?xml version="1.0" encoding="utf-8"?>
<sst xmlns="http://schemas.openxmlformats.org/spreadsheetml/2006/main" count="2541" uniqueCount="454">
  <si>
    <t>Etapa</t>
  </si>
  <si>
    <t>Data</t>
  </si>
  <si>
    <t>Pagador</t>
  </si>
  <si>
    <t>Descricao</t>
  </si>
  <si>
    <t>Valor</t>
  </si>
  <si>
    <t>Pedido</t>
  </si>
  <si>
    <t>NF</t>
  </si>
  <si>
    <t>PIX</t>
  </si>
  <si>
    <t>Outros</t>
  </si>
  <si>
    <t>Ricardo</t>
  </si>
  <si>
    <t>50% custo anual para domínio do Site ForteGB</t>
  </si>
  <si>
    <t>Documentação</t>
  </si>
  <si>
    <t>CND's Juciléia/Hercílio e do terreno P-31</t>
  </si>
  <si>
    <t>CND complementar</t>
  </si>
  <si>
    <t>Reconhecimento firma</t>
  </si>
  <si>
    <t>Felipe</t>
  </si>
  <si>
    <t>Terreno</t>
  </si>
  <si>
    <t>50% aquisição do terreno P-31</t>
  </si>
  <si>
    <t>50% do ITBI do Terreno</t>
  </si>
  <si>
    <t>50% taxa de Escritura do terreno</t>
  </si>
  <si>
    <t>50% da bonificação do olheiro Adriano</t>
  </si>
  <si>
    <t>50% do Registro do terreno no cartório</t>
  </si>
  <si>
    <t>Adilson</t>
  </si>
  <si>
    <t>Taxa ficha informativa junto a prefeitura</t>
  </si>
  <si>
    <t>Taxa vistoria engenheiro do condomínio</t>
  </si>
  <si>
    <t>Projeto</t>
  </si>
  <si>
    <t>Parcela 2 de 4 ref. saldo contrato com a N&amp;ED</t>
  </si>
  <si>
    <t>IPTU/cond./água/luz</t>
  </si>
  <si>
    <t>IPTU (parcelas a partir de Jun/21 até a última parcela pagas pela Juciléia e reembolsadas pelo Ricardo quando na compra do terreno)</t>
  </si>
  <si>
    <t>Pagamento de 4 meses referente ao condomínio</t>
  </si>
  <si>
    <t>1a. parcela N&amp;ED (50% parcel 1 de 4)</t>
  </si>
  <si>
    <t>1a. parcela N&amp;ED (50% parcela 1 de 4)</t>
  </si>
  <si>
    <t>Cópia de planta</t>
  </si>
  <si>
    <t>Elétrica</t>
  </si>
  <si>
    <t>Cabo 35mm de alumínio (18 mts preto e 6 mts azul)</t>
  </si>
  <si>
    <t>Disjuntor 80A, protetor de surto e trilho</t>
  </si>
  <si>
    <t>1a. parcela (total de duas parcelas) projeto estrutural LEMA</t>
  </si>
  <si>
    <t>Condomínio P-31</t>
  </si>
  <si>
    <t>Cópias do projeto estrutural para o Sr. José (Pedreiro)</t>
  </si>
  <si>
    <t>Conduscam - Cabos 255 Poste 18m preto e 6m azul</t>
  </si>
  <si>
    <t>Não</t>
  </si>
  <si>
    <t>Sim</t>
  </si>
  <si>
    <t>Fundação</t>
  </si>
  <si>
    <t>Maruí - Madeiras para gabarito, baldrame e complemento do barraco</t>
  </si>
  <si>
    <t>Mercado Livre - Protetor plástico para ponta de vergalhão</t>
  </si>
  <si>
    <t>Preliminares</t>
  </si>
  <si>
    <t xml:space="preserve">Terraplanagem e limpeza do terreno </t>
  </si>
  <si>
    <t>S SIlva - Cadeado e corrente par o abrigo provisório (barraco)</t>
  </si>
  <si>
    <t>Cyberdocs - Impressão de Projeto</t>
  </si>
  <si>
    <t>Espaçadores tipo roseta S30 (pacote com 300 pçs)</t>
  </si>
  <si>
    <t>Ferro Pronto - Ferragens para estacas da casa</t>
  </si>
  <si>
    <t>Penúltima parcela do contrato com a N&amp;ED (parcela 3 de 4)</t>
  </si>
  <si>
    <t>N&amp;ED - Projetos Arquitetonico e Complementares Parcela 4 de 4</t>
  </si>
  <si>
    <t xml:space="preserve">Ferro Pronto - Ferragens para estacas do muro </t>
  </si>
  <si>
    <t>Anderson Perfurações - Perfuração mecanizada de brocas (casa e muros)</t>
  </si>
  <si>
    <t>PMH - Taxa de alvará de construção</t>
  </si>
  <si>
    <t>Cyberdoc - Impressão projeto hidráulico</t>
  </si>
  <si>
    <t>Cyberdoc - Impressão projeto estrutural</t>
  </si>
  <si>
    <t>Guindola - Alimentação Equipe Concretagem Brocas</t>
  </si>
  <si>
    <t>Guindola - Almoço Ricardo e Adilson</t>
  </si>
  <si>
    <t>Rodrigues - Areia grossa e pedrisco</t>
  </si>
  <si>
    <t>Paredes e muros</t>
  </si>
  <si>
    <t>63 sacos de cimento</t>
  </si>
  <si>
    <t>Ferro Pronto - Ferragem armada para baldrames (casa e muros)</t>
  </si>
  <si>
    <t>Campmix - Concreto usinado para estacas 7m3</t>
  </si>
  <si>
    <t>José Salla - Mão-de-Obra</t>
  </si>
  <si>
    <t>Arame recozido (10 kgs)</t>
  </si>
  <si>
    <t>Aluguel de martelete elétrico de 11 kgs</t>
  </si>
  <si>
    <t>103 barras de ferro 8mm CA50 nervurado (barras de 12m)</t>
  </si>
  <si>
    <t>Blocos cerâmicos estruturais (Cerâmica da Mata)</t>
  </si>
  <si>
    <t>Tábuas e pregos faltantes para caixaria do baldrame</t>
  </si>
  <si>
    <t>Pagamento de mão de obra do Sr. Zé (parcela 2)</t>
  </si>
  <si>
    <t xml:space="preserve">12 caixas de Sikatop 100 </t>
  </si>
  <si>
    <t>Cópias impressas de projetos na Cyberdoc</t>
  </si>
  <si>
    <t>50 estribos 32x10cm esp. 6,3mm amarração paredes</t>
  </si>
  <si>
    <t>Locação de vibrador para concreto ( 1 dia )</t>
  </si>
  <si>
    <t>Vedalit e trinchas</t>
  </si>
  <si>
    <t>20 estribos 32x10cm esp. 6,3mm amarração paredes</t>
  </si>
  <si>
    <t>Conduite corrugado 1 1/2 " e brocas</t>
  </si>
  <si>
    <t>Ferro Pronto - Ferragem armada VC1, 2 e 3 e P26</t>
  </si>
  <si>
    <t>Hidráulica</t>
  </si>
  <si>
    <t>Tubocentro - Tubos e Conexões Parte 01</t>
  </si>
  <si>
    <t>Campmix - Concreto usinado para baldrames e estacas faltantes</t>
  </si>
  <si>
    <t>2a. e última parcela do projeto estrutural LEMA</t>
  </si>
  <si>
    <t>Locação de compactador</t>
  </si>
  <si>
    <t>Conta da SABESP</t>
  </si>
  <si>
    <t>Cópias de projeto estrutural e arquitetônico (CN Cópias)</t>
  </si>
  <si>
    <t>Impersika e Sikatop</t>
  </si>
  <si>
    <t>Pagamento José Salla Pedreiro</t>
  </si>
  <si>
    <t>Registro.br - Renovação do domínio ForteGB.com.br</t>
  </si>
  <si>
    <t>PENDENTE</t>
  </si>
  <si>
    <t xml:space="preserve">5m3 de pedrisco e 5m3 de areia média </t>
  </si>
  <si>
    <t>Locação de betoneira (mês 1)</t>
  </si>
  <si>
    <t>Tubos e conexões</t>
  </si>
  <si>
    <t>Pagto Everton / eletricista (passagem cabos poste CPFL)</t>
  </si>
  <si>
    <t>Rede GLP</t>
  </si>
  <si>
    <t>Instalação de rede de gás (com teste de estanqueidade)</t>
  </si>
  <si>
    <t>Tubos e conexões Amanco</t>
  </si>
  <si>
    <t>Mercado Livre - 100 pçs caixas de luz amarela Tramontina 4x2</t>
  </si>
  <si>
    <t>Leroy Merlin - 06 pçs caixas de luz amarela 4x4</t>
  </si>
  <si>
    <t>S SIlva - 03 rolos 50m eletroduto corrug. 3/4 amarelo (30 emendas)</t>
  </si>
  <si>
    <t>Obra Já - 50 sacos de cimento (frete incluso)</t>
  </si>
  <si>
    <t>Rodrigues - Areia média 5m</t>
  </si>
  <si>
    <t>Laje</t>
  </si>
  <si>
    <t>Lajes Tatu - Laje Protendida Vigotas</t>
  </si>
  <si>
    <t>Lajes Tatu - Laje Protendida Lajotas</t>
  </si>
  <si>
    <t xml:space="preserve">Cerâmica da Mata - 25 blocos de 14 x 19 x 44 </t>
  </si>
  <si>
    <t>S SIlva - Compund e arame</t>
  </si>
  <si>
    <t>MASP - Condomínio P-31</t>
  </si>
  <si>
    <t>Tubocentro Ralo sifonado PVC e grelhas para ralos de quintal</t>
  </si>
  <si>
    <t>Leroy Merlin - 3 Caixas de dreno para ar condicionado</t>
  </si>
  <si>
    <t>Depósito Novo Cambuí - Tubos e conexões Amanco</t>
  </si>
  <si>
    <t>50 sacos de cimento (frete incluso)</t>
  </si>
  <si>
    <t>CPFL - Conta de Luz</t>
  </si>
  <si>
    <t>Cicalfer - 46 telas (malha de ferro) modelo Q92</t>
  </si>
  <si>
    <t>Rodrigues - Pedrisco 5m</t>
  </si>
  <si>
    <t>Rodrigues - Areia Média 5m</t>
  </si>
  <si>
    <t>Tubocentro - 50m Corrugado 3/4 laranja</t>
  </si>
  <si>
    <t xml:space="preserve">SABESP - Conta da SABESP </t>
  </si>
  <si>
    <t>CPFL - Conta da CPFL</t>
  </si>
  <si>
    <t>Aluminovo - 1 Barra Chata de Alumínio de 6m</t>
  </si>
  <si>
    <t>S Silva - Pregos e arame</t>
  </si>
  <si>
    <t>Mercado Livre - Caixas de embitir luminárias na laje</t>
  </si>
  <si>
    <t>Cartao de Credito</t>
  </si>
  <si>
    <t>Vilson - Locação de betoneira (mês 2)</t>
  </si>
  <si>
    <t>Brum - Quadro de disjuntores e quadro de logica marca BRUM</t>
  </si>
  <si>
    <t>Brum - Frete referente compra de quadro elétrico e lógica BRUM</t>
  </si>
  <si>
    <t>Maruí - 20 tábuas de 15cm para a laje</t>
  </si>
  <si>
    <t>Casa do Construtor - Locação de 85 escoras metálicas de 3m (valor mensal)</t>
  </si>
  <si>
    <t>Tubocentro - 50m tubo corrugado 3/4 laranja</t>
  </si>
  <si>
    <t>Aluminovo - 2 Barras chata de alumínio de 6m</t>
  </si>
  <si>
    <t>Ferro Pronto - Ferragem Negativa Laje 15 barras de ferro 12m 10mm</t>
  </si>
  <si>
    <t>S SIlva - 6 mts cano PVC 40mm (S. SILVA)</t>
  </si>
  <si>
    <t>S Silva - 2 kgs prego 18x27, 1 kg prego 19x36 e 3 lápis carpinteiro</t>
  </si>
  <si>
    <t>José Sala - Discos diamantados, broca de videa (reembolso Zé)</t>
  </si>
  <si>
    <t>Tubocentro - 50 mts tubo corrugado 3/4 laranja</t>
  </si>
  <si>
    <t>Ferro Pronto - 20 barras de ferro de 8mm</t>
  </si>
  <si>
    <t>Allfix - Parafusos e buchas para fixar suporte de cabos elétricos</t>
  </si>
  <si>
    <t>Campmix - Concreto usinado laje pé direito 3m</t>
  </si>
  <si>
    <t>PENDENTE SERVICOS</t>
  </si>
  <si>
    <t>S SIlva - Pregos, arames e serras para uso em caixaria de laje</t>
  </si>
  <si>
    <t>Revestimentos</t>
  </si>
  <si>
    <t>Leroy Merlin - Pisos e revestimentos adquiridos na Leroy Merlin</t>
  </si>
  <si>
    <t>Leroy Bruna - Gratificação vendedora Bruna / Leroy ref. desc. concedido</t>
  </si>
  <si>
    <t>Obra Já - 50 sacos de cimento</t>
  </si>
  <si>
    <t xml:space="preserve">Campmix - Concreto usinado laje pé direito 4 mts </t>
  </si>
  <si>
    <t>Vilson - Locação de betoneira (mês 3)</t>
  </si>
  <si>
    <t>Churrasqueira</t>
  </si>
  <si>
    <t>Ilson Churrasqueira - Churrasqueira em Alvenaria com Exaustor e Chaminé</t>
  </si>
  <si>
    <t>S Silva - 15 Caixas de Sikatop, Lona Plástica, Caixas 3x3 e Luvas</t>
  </si>
  <si>
    <t>Reboco</t>
  </si>
  <si>
    <t>Rodrigues - 5m Areia grossa e 5m Areia fina</t>
  </si>
  <si>
    <t>Bebidas para churrasco de confraternização da obra</t>
  </si>
  <si>
    <t>Pague Menos - Gelo, Pão, Utensílios</t>
  </si>
  <si>
    <t>Galassi - Churrasco Sal grosso, Álcool, Gelo</t>
  </si>
  <si>
    <t>Açougue Zé - Churrasco Carnes e Carvão</t>
  </si>
  <si>
    <t>01 rolo conduite corrugado 3/4" amarelo</t>
  </si>
  <si>
    <t>José Salla - Reembolso Colher de pedreiro e Outros</t>
  </si>
  <si>
    <t>Tubocentro - Material Hidráulica Telhado</t>
  </si>
  <si>
    <t>Portas e Janelas</t>
  </si>
  <si>
    <t>Fastportas - 04 jogos de batentes em madeira Garapeira</t>
  </si>
  <si>
    <t>S SIlva - 10 cxs Tecplus e duas barras de ferro 8mm</t>
  </si>
  <si>
    <t>Telhado</t>
  </si>
  <si>
    <t>Maruí - Madeiras para o telhado</t>
  </si>
  <si>
    <t>Obra Ja - Telhas em fibrocimento marca Brasilit, espessura 6mm</t>
  </si>
  <si>
    <t xml:space="preserve">Frezzarin - Esquadrias Parcela 1 de 3 </t>
  </si>
  <si>
    <t>Bancadas/soleiras</t>
  </si>
  <si>
    <t>Frezzarin - Pedras Parcela 1 de 2</t>
  </si>
  <si>
    <t>Maruí - Pregos e parafusos para o telhado</t>
  </si>
  <si>
    <t>Vilson - Locação de 30 escoras metálicas de 4 m</t>
  </si>
  <si>
    <t>Tubocentro - Cabos elétricos conforme lista nr. 1 do eletricista Everton</t>
  </si>
  <si>
    <t>Reginaldo Calheiro - Calha Cocho Sinal de 50%</t>
  </si>
  <si>
    <t>50 sacos de Cimento Obra Ja</t>
  </si>
  <si>
    <t>Rodrigues - 10 m3 areia fina rosa</t>
  </si>
  <si>
    <t>Reginaldo Calheiro - Calha cocho final 50%</t>
  </si>
  <si>
    <t>Vilson - Locação de betoneira (mês 4)</t>
  </si>
  <si>
    <t>S Silva - Bianco 18kg</t>
  </si>
  <si>
    <t>S Silva - Conexões hidráulicas</t>
  </si>
  <si>
    <t>Brocas para furadeira</t>
  </si>
  <si>
    <t>S SIlva - 3 caixas de impermeabilizantes</t>
  </si>
  <si>
    <t xml:space="preserve">Rodrigues - 5m3 de Areia Média </t>
  </si>
  <si>
    <t>Louças e metais</t>
  </si>
  <si>
    <t>Hidronox - Cuba da Ilha Sink Square SQ50INX</t>
  </si>
  <si>
    <t>ObraFacil - Cubas Banheiros Social e Suite, Valvulas</t>
  </si>
  <si>
    <t>Charles Gesseiro - Sinal Gesso Liso das Paredes</t>
  </si>
  <si>
    <t>José Salla - Reembolso 100 parafusos para o telhado</t>
  </si>
  <si>
    <t>José Salla - Reembolso Conexões hidráulicas</t>
  </si>
  <si>
    <t>José Salla - Reembolso Rolo de arame, régua de alumínio, disco de corte, etc.</t>
  </si>
  <si>
    <t>José Construtor - Pagamento pedreiro José Salla</t>
  </si>
  <si>
    <t>Obra Já - 50 Sacos de Cimento</t>
  </si>
  <si>
    <t>S Silva - Diversos, Bianco e Conexões</t>
  </si>
  <si>
    <t>PMH - IPTU Cota Única</t>
  </si>
  <si>
    <t>Concreto Julio Cesar - 5m3 Concreto Usinado Frente Casa</t>
  </si>
  <si>
    <t>Rodrigues - 3m3 de Areia Fina</t>
  </si>
  <si>
    <t>SABESP - Conta D'água Janeiro 2022</t>
  </si>
  <si>
    <t>SABESP - Conta D'água Fevereiro 2022</t>
  </si>
  <si>
    <t>CPFL - Conta de Luz Janeiro 2022</t>
  </si>
  <si>
    <t>CPFL - Conta de Luz Fevereiro 2022</t>
  </si>
  <si>
    <t>Reginaldo Calheiro - Sinal Pagamento Rufos</t>
  </si>
  <si>
    <t>Charles Gesseiro - Sinal Mão de Obra Gesso Liso</t>
  </si>
  <si>
    <t>Leroy Merlin - 90 Sacos Argamassa Fortaleza</t>
  </si>
  <si>
    <t>S Silva - 10 sacos de argamassa para porcelanato</t>
  </si>
  <si>
    <t>Leroy Merlin - Caixa de Disjuntor Externo Tigre (sera trocada)</t>
  </si>
  <si>
    <t>Tubocentro - 100m fio 2,5mm Azul</t>
  </si>
  <si>
    <t>Mercado Livre - 1 Tomada Externa</t>
  </si>
  <si>
    <t>Aluminovo - 12m de barra chata de alumínio (ancoragem elétrica)</t>
  </si>
  <si>
    <t>S SIlva - Vedalit e peneira</t>
  </si>
  <si>
    <t>Pintura e gesso</t>
  </si>
  <si>
    <t>Saci Tintas - Selador, latex gesso e fundo prime</t>
  </si>
  <si>
    <t>Mercado Livre - Ralos Invisiveis (5 de 10x10 e 1 de 15x15)</t>
  </si>
  <si>
    <t>S Silva - 15 Sacos de Cimento</t>
  </si>
  <si>
    <t>S Silva - Arame torcido e Vedalit</t>
  </si>
  <si>
    <t>Saci Tintas - Compra Inicial de Tintas</t>
  </si>
  <si>
    <t>Luiz Pintor - Parcela da Mão-de-Obra da Pintura</t>
  </si>
  <si>
    <t>Telhanorte - Rejuntes dos Revestimentos</t>
  </si>
  <si>
    <t>José Construtor - Mão de Obra da Casa</t>
  </si>
  <si>
    <t>Saci Tintas - Primer Rufo</t>
  </si>
  <si>
    <t>Charles Gesseiro - Placas de gesso e perfis metálicos forro</t>
  </si>
  <si>
    <t>Leroy Merlin - Cabos elétricos, fita isolante e luminárias Led</t>
  </si>
  <si>
    <t>Schneider - Tomadas e Interruptores - Compra Principal</t>
  </si>
  <si>
    <t>Mercado Livre - Tomadas e Interruptores - Compra Complementar</t>
  </si>
  <si>
    <t>Vilson - Locação de andaimes e aluguel da betoneira</t>
  </si>
  <si>
    <t>S Silva - Prolongador de caixa sifonada e cimento</t>
  </si>
  <si>
    <t>Perulandia - Rolo de 100 mts de papelão aluminizado</t>
  </si>
  <si>
    <t>Saci Tintas - Primer, rolo de fita azul e plástico bolha</t>
  </si>
  <si>
    <t>Tubo Centro - Tampas de inspeção e ralo 15x15cm</t>
  </si>
  <si>
    <t>José Salla - Extras Coluna da Fachada e Soleiras</t>
  </si>
  <si>
    <t>Reginaldo Calheiro - Pagamento Final Rufos</t>
  </si>
  <si>
    <t>Tubocentro - Disjuntores</t>
  </si>
  <si>
    <t>Charles Gesseiro - Forro de gesso</t>
  </si>
  <si>
    <t>Gustavo Piso - Mão de Obra de Revestimento</t>
  </si>
  <si>
    <t>Saci Tintas - Material de Pintura</t>
  </si>
  <si>
    <t>Leroy Merlin - Espelho para tomada 4x2 e suporte para tomada 4x4</t>
  </si>
  <si>
    <t>Leroy Merlin - Espaçadores niveladores 1,5mm marca Cortag (600 pçs)</t>
  </si>
  <si>
    <t>Tubo Centro - 100m Cabo 2,5 PT AZ VD 100m Cabo 1,5mm AM</t>
  </si>
  <si>
    <t>S. SIlva - 1 Saco de Cimento para Preencher Soleiras</t>
  </si>
  <si>
    <t>Mercado Livre - Luminárias Compra Principal</t>
  </si>
  <si>
    <t>Caixa de Tomada - Tomada da Ilha</t>
  </si>
  <si>
    <t>Saci Tintas - Dois Galões de Látex Gesso</t>
  </si>
  <si>
    <t>S Silva - Bisnaga de PU e 100 pçs espaçadores niveladores Cortag 1,5mm</t>
  </si>
  <si>
    <t>Saci Tintas - Fita adesiva azul e massa corrida</t>
  </si>
  <si>
    <t>Turqueti - Limpeza do terreno de apoio (bota-fora de entulhos e sobras de materiais)</t>
  </si>
  <si>
    <t>Saci Tintas - Gran Fino e Massa acrilica</t>
  </si>
  <si>
    <t>Guindola - Almoço Comemoração José e Equipe</t>
  </si>
  <si>
    <t>Tubocentro - Cabos Alimentação Central 25mm 48m Preto 16 Azul e 16mm 16m Verde</t>
  </si>
  <si>
    <t xml:space="preserve">Leroy Merlin - Suportes 4x2 e Interruptor Paralelo Extras </t>
  </si>
  <si>
    <t>Leroy Merlin - Espaçadores Niveladores e Rejunte Epoxi</t>
  </si>
  <si>
    <t>Leroy Merlin - Revestimentos Adicionais Aço Coten Canjiquinha e Argamassas</t>
  </si>
  <si>
    <t>DeRosso ArqFazz - Tijolo Filete Ingles Cor Nude</t>
  </si>
  <si>
    <t>Mercado Livre - Fechadura Digital</t>
  </si>
  <si>
    <t>Leroy Merlin - Revestimento 3D Adicional</t>
  </si>
  <si>
    <t>S Silva - Argamassa para porcelanato (interno e externo) 4 sacos de 20 Kgs</t>
  </si>
  <si>
    <t>Charles Gesseiro - Forro de gesso, parcela final</t>
  </si>
  <si>
    <t>Fastportas - Portas e Ferrages Quartos e Banheiros Internos</t>
  </si>
  <si>
    <t>Cyberdoc - Placa Vende-se</t>
  </si>
  <si>
    <t>Casa do Serralheiro - Fechaduras</t>
  </si>
  <si>
    <t>Guindola - Almoço e Marmita Eletricistas</t>
  </si>
  <si>
    <t>Everton Eletricista - Parcela da Mão-de-Obra</t>
  </si>
  <si>
    <t>SABESP - Água Março 2022</t>
  </si>
  <si>
    <t>CPFL - Conta de Luz Março 2022</t>
  </si>
  <si>
    <t>Saci Tintas - Barricas de gran fino (5 barricas)</t>
  </si>
  <si>
    <t>S Silva - Argamassa AC2 (05 pcts) para textura projetada</t>
  </si>
  <si>
    <t>Guindola - Refeição Marmita</t>
  </si>
  <si>
    <t>José Salla - Mão-de-Obra Extra</t>
  </si>
  <si>
    <t>Saci Tintas - Lixas, gesso branco, fita crepe</t>
  </si>
  <si>
    <t>Saci Tintas - Barrica Graff Fino</t>
  </si>
  <si>
    <t>Juninho Marceneiro - Assentamento portas P-31</t>
  </si>
  <si>
    <t>Obra Já - Vasos sanitários com caixa acoplada e tampa</t>
  </si>
  <si>
    <t>Gustavo Piso - Mão de Obra tijolinho da fachada (Pago a Lindoberto)</t>
  </si>
  <si>
    <t xml:space="preserve">Frezzarin - Esquadrias Parcela 2 de 3 </t>
  </si>
  <si>
    <t>Saci Tintas - Epoxi, fundo nivelador</t>
  </si>
  <si>
    <t>Saci Tintas - Silicone, pincel, rolo</t>
  </si>
  <si>
    <t>Saci Tintas - Massa corrida, tinta cimento queimado</t>
  </si>
  <si>
    <t>Gustavo Piso - Revestimento churrasqueira (pago a Rosangela)</t>
  </si>
  <si>
    <t>Frezzarin - Pedras Extras Nichos</t>
  </si>
  <si>
    <t>Moisés Marceneiro - Reparo Porta de Correr</t>
  </si>
  <si>
    <t>Frezzarin - Pedras Parcela 2 de 2</t>
  </si>
  <si>
    <t>José Gino Salla - Extra Resolução de passagem de cabos em conduítes</t>
  </si>
  <si>
    <t>Limpeza pós-obra</t>
  </si>
  <si>
    <t>Charles Gesso - Retirada de Entulho (pago a Lucas Cabral)</t>
  </si>
  <si>
    <t>Everton Eletricista - Reembolso Luminária Led de embutir 24W</t>
  </si>
  <si>
    <t>Saci Tintas - Acrílico fosco branco, fitas, esmalte</t>
  </si>
  <si>
    <t>Mercado Livre - Luminárias da Fachada</t>
  </si>
  <si>
    <t>Mercado Livre - Luminária Faltante do Muro</t>
  </si>
  <si>
    <t>Leroy Merlin - Lâmpadas Luminárias Muro e Fachada</t>
  </si>
  <si>
    <t>BR Telecon - Bocal e lâmpada para abrigo da caixa dágua</t>
  </si>
  <si>
    <t>Luiz Pintor - Extra Aquela e Faixa Caixa D'água</t>
  </si>
  <si>
    <t>Saci Tintas - Lixas para massa acrílica</t>
  </si>
  <si>
    <t>Saci Tintas - Barrica de massa corrida</t>
  </si>
  <si>
    <t>Rodrigues - Areia média 5m pedras portuguesas</t>
  </si>
  <si>
    <t>S Silva - 16 sacos de cimento pedra portuguesa</t>
  </si>
  <si>
    <t>Guindola - Almoço José Salla</t>
  </si>
  <si>
    <t>Gustavo Piso - Extra Troca de Rodapé Quebrado</t>
  </si>
  <si>
    <t>Saci Tintas - Barrica de Massa Acrílica Fita SelaTrinca Pincel e Rolo</t>
  </si>
  <si>
    <t>S Silva - 3 sacos de cimento para pedra portuguesa</t>
  </si>
  <si>
    <t>SABESP - Água Abril 2022</t>
  </si>
  <si>
    <t>SABESP - Água Maio 2022</t>
  </si>
  <si>
    <t>Sérgio Calçada - Calçada de Pedras Portuguesas</t>
  </si>
  <si>
    <t>Escopar Parafusos - Parafusos Longos para Caixa Elétrica</t>
  </si>
  <si>
    <t>Éverton Eletricista - Parcela da Mão-de-Obra de Elétrica 1</t>
  </si>
  <si>
    <t>Éverton Eletricista - Parcela da Mão-de-Obra de Elétrica 2</t>
  </si>
  <si>
    <t>Saci Tintas - 01 galão tinta algodão egipicio e rolo de fita adesiva azul</t>
  </si>
  <si>
    <t>José Salla - Reparo conduíte entupido</t>
  </si>
  <si>
    <t>ABC da Construção - 3x Misturador Monocomando Para Lavatório</t>
  </si>
  <si>
    <t>Saci Tintas - Barrica Graff Fino e Tinta Epoxi Branca</t>
  </si>
  <si>
    <t>Jardinagem</t>
  </si>
  <si>
    <t>Giovanni Palmieri - Terra limpa para jardinagem 1 m3</t>
  </si>
  <si>
    <t>Rosália - Paisagismo P-31</t>
  </si>
  <si>
    <t>Saci Tintas - 2 galões algodão egípcio, thinner e fita adesiva azul</t>
  </si>
  <si>
    <t>Luiz Pintor - Serviço reparo devido equipe esquadrias</t>
  </si>
  <si>
    <t>Gustavo Piso - Reparo de revestimento em tijolinho da fachada e troca de rodapé garagem</t>
  </si>
  <si>
    <t>Vilson - Locação de andaimes para pintura (período de três meses)</t>
  </si>
  <si>
    <t>Douglas Santos - Lixeira em concreto para calçada (padrão do condomínio)</t>
  </si>
  <si>
    <t>Torneira de jardim (muro dos fundos) marca Docol , modelo Pertutti</t>
  </si>
  <si>
    <t xml:space="preserve">Frezzarin - Esquadrias Parcela 3 de 3 </t>
  </si>
  <si>
    <t>Leroy Merlin - Tanque e Acessórios</t>
  </si>
  <si>
    <t>Leroy Merlin - Torneiras</t>
  </si>
  <si>
    <t>Mercado Livre - Torneiras</t>
  </si>
  <si>
    <t>SABESP - Água Junho 2022</t>
  </si>
  <si>
    <t>Gustavo Piso - Troca de Piso Quebrado Banheiro Social</t>
  </si>
  <si>
    <t>S Silva - Acessórios Tanque</t>
  </si>
  <si>
    <t>Saci Tintas - 01 galão cascalho repintura conserto de torneira</t>
  </si>
  <si>
    <t>Mercado Livre - 2 Válvulas de Lavatório</t>
  </si>
  <si>
    <t>Vidrocasa - Entrada Box</t>
  </si>
  <si>
    <t>Vidrocasa - Espelhos</t>
  </si>
  <si>
    <t>Sink - Tubo Ladrão do Sifão</t>
  </si>
  <si>
    <t>Luiz Pintor - Parcela Final da Pintura</t>
  </si>
  <si>
    <t>Leroy Merlin - Tampas Caixa Ar-Condicionado</t>
  </si>
  <si>
    <t>Sirlei Faxina - Limpeza Pós Obra P-31</t>
  </si>
  <si>
    <t>CPFL - Luz Abril</t>
  </si>
  <si>
    <t>CPFL - Luz Maio</t>
  </si>
  <si>
    <t>CPFL - Luz Junho</t>
  </si>
  <si>
    <t>CPFL - Luz Julho</t>
  </si>
  <si>
    <t>CPFL - Luz Agosto</t>
  </si>
  <si>
    <t>SABESP - Água Julho 2022</t>
  </si>
  <si>
    <t>Vidrocasa - 2a Parcela Box</t>
  </si>
  <si>
    <t>Nosso Lar Utilidades - Material de Limpeza</t>
  </si>
  <si>
    <t>Leroy Merlin - Material de Limpeza</t>
  </si>
  <si>
    <t>Otaviano - Instalação Louças e Metais</t>
  </si>
  <si>
    <t>PMH - Requisição do Habite-se (sem custos, somente para marcar a data)</t>
  </si>
  <si>
    <t>Conserto de fechadura da porta de correr do banheiro da suíte (faltava peça perdida)</t>
  </si>
  <si>
    <t>Restauração de jardim com retirada de pragas e complemento de pedras</t>
  </si>
  <si>
    <t>Galão tinta cascalho, tinta cimento queimado, resina e lixa</t>
  </si>
  <si>
    <t>Luiz Pintor - Retoques na pintura da P-31</t>
  </si>
  <si>
    <t>Produtos e materiais de limpeza para faxina da casa</t>
  </si>
  <si>
    <t>IPTU Cota Única Casa P-31</t>
  </si>
  <si>
    <t>Emissão do Habite-se P-31</t>
  </si>
  <si>
    <t>Conta de água (Agosto)</t>
  </si>
  <si>
    <t>Conta de água (Julho)</t>
  </si>
  <si>
    <t>Conta de água (Junho)</t>
  </si>
  <si>
    <t>Conta de água (Maio)</t>
  </si>
  <si>
    <t>Conta de água (Abril)</t>
  </si>
  <si>
    <t>Conta de energia (Abril)</t>
  </si>
  <si>
    <t>Conta de energia (Março)</t>
  </si>
  <si>
    <t>Manutenção no jardim P-31 (Rosália)</t>
  </si>
  <si>
    <t>Produtos de limpeza diversos</t>
  </si>
  <si>
    <t>Mangueira 25 mts jardim casa P-31</t>
  </si>
  <si>
    <t>Faxina P-31 Sra. Neide</t>
  </si>
  <si>
    <t>Engate de mangueira, esguicho revoler, vassoura</t>
  </si>
  <si>
    <t>Troca de rodapé de porcelanato quebrado na P-31</t>
  </si>
  <si>
    <t>IPTU Cota Única P-31 2024</t>
  </si>
  <si>
    <t>SABESP - Água Setembro 2023</t>
  </si>
  <si>
    <t>SABESP - Água Outubro 2023</t>
  </si>
  <si>
    <t>SABESP - Água Novembro 2023</t>
  </si>
  <si>
    <t>SABESP - Água Dezembro 2023</t>
  </si>
  <si>
    <t>SABESP - Água Janeiro 2024</t>
  </si>
  <si>
    <t>SABESP - Água Fevereiro 2024</t>
  </si>
  <si>
    <t>SABESP - Água Março 2024</t>
  </si>
  <si>
    <t>SABESP - Água Abril 2024</t>
  </si>
  <si>
    <t>SABESP - Água Maio 2024</t>
  </si>
  <si>
    <t>SABESP - Água Junho 2024</t>
  </si>
  <si>
    <t>CPFL - Luz Outubro 2023</t>
  </si>
  <si>
    <t>CPFL - Luz Novembro 2023</t>
  </si>
  <si>
    <t>CPFL - Luz Dezembro 2023</t>
  </si>
  <si>
    <t>CPFL - Luz Janeiro 2024</t>
  </si>
  <si>
    <t>CPFL - Luz Fevereiro 2024</t>
  </si>
  <si>
    <t>CPFL - Luz Março 2024</t>
  </si>
  <si>
    <t>LEGÍTIMA - Condomínio P-31</t>
  </si>
  <si>
    <t>PJ BANK - Condomínio P-31</t>
  </si>
  <si>
    <t>CPFL - Luz Agosto 2024</t>
  </si>
  <si>
    <t>CPFL - Luz Setembro 2024</t>
  </si>
  <si>
    <t>CPFL - Luz Outubro 2024</t>
  </si>
  <si>
    <t>CPFL - Luz Novembro 2024</t>
  </si>
  <si>
    <t>CPFL - Luz Dezembro 2024</t>
  </si>
  <si>
    <t>CPFL - Luz Janeiro 2025</t>
  </si>
  <si>
    <t>IPTU Cota Única Exercício 2025 Casa 02</t>
  </si>
  <si>
    <t>Serviço básico de jardineiro para retirada de mato alto e pragas (sem replantio)</t>
  </si>
  <si>
    <t>SABESP - Água Julho 2024</t>
  </si>
  <si>
    <t>SABESP - Água Agosto 2024</t>
  </si>
  <si>
    <t>SABESP - Água Setembro 2024</t>
  </si>
  <si>
    <t>SABESP - Água Outubro 2024</t>
  </si>
  <si>
    <t>SABESP - Água Novembro 2024</t>
  </si>
  <si>
    <t>SABESP - Água Dezembro 2024</t>
  </si>
  <si>
    <t>SABESP - Água Janeiro 2025</t>
  </si>
  <si>
    <t>SABESP - Água Fevereiro 2025</t>
  </si>
  <si>
    <t>SABESP - Água Março 2025</t>
  </si>
  <si>
    <t>CPFL - Luz Março 2025</t>
  </si>
  <si>
    <t xml:space="preserve">Faxina P-31 Sra. Neide </t>
  </si>
  <si>
    <t>1o Cartório Sumaré - Matrícula Atualizada para Requisição de Habite-se</t>
  </si>
  <si>
    <t>Toldo para área gourmet (proteção solar e privacidade vizinho dos fundos)</t>
  </si>
  <si>
    <t>Rosália - Revitalização do jardim da P-31</t>
  </si>
  <si>
    <t xml:space="preserve">Saci Tintas Material Reforma </t>
  </si>
  <si>
    <t>Canoplas de acabamento banheiros</t>
  </si>
  <si>
    <t>Mercado Livre - Ducha Quintal</t>
  </si>
  <si>
    <t>Mercado Livre - Acabamento registro ducha de quintal</t>
  </si>
  <si>
    <t>Planilha de rateio de valor investido em construção residencial (CASA 02 : Ricardo, Adilson e Felipe)</t>
  </si>
  <si>
    <t>ESTIMATIVA  x   REAL   (CASA 02 / Terreno P-31)</t>
  </si>
  <si>
    <t>porcentagem</t>
  </si>
  <si>
    <t>Total</t>
  </si>
  <si>
    <t>CUSTO ESTIMADO P-31</t>
  </si>
  <si>
    <t>CUSTO REAL P-31</t>
  </si>
  <si>
    <t>DESVIO (em R$)</t>
  </si>
  <si>
    <t>DESVIO (em %)</t>
  </si>
  <si>
    <t>Armários</t>
  </si>
  <si>
    <t/>
  </si>
  <si>
    <t>RICARDO</t>
  </si>
  <si>
    <t>ADILSON</t>
  </si>
  <si>
    <t>FELIPE</t>
  </si>
  <si>
    <t>TOTAL</t>
  </si>
  <si>
    <t>Histórico de realização de Venda:</t>
  </si>
  <si>
    <t>Data: 09/04/22</t>
  </si>
  <si>
    <t>Valor da venda:</t>
  </si>
  <si>
    <t>Venda de tábuas</t>
  </si>
  <si>
    <t>Data: 19/04/22</t>
  </si>
  <si>
    <t>Venda madeirites</t>
  </si>
  <si>
    <t>Data: 02/05/22</t>
  </si>
  <si>
    <t>Venda tubos PVC</t>
  </si>
  <si>
    <t>CENARIO COM TERRENO BANDEIRAS</t>
  </si>
  <si>
    <t>P-31</t>
  </si>
  <si>
    <t>870K Terreno 180K</t>
  </si>
  <si>
    <t>880K Terreno 180K</t>
  </si>
  <si>
    <t>890K Terreno 180K</t>
  </si>
  <si>
    <t>Custo Total Construção</t>
  </si>
  <si>
    <t>Em Dinheiro</t>
  </si>
  <si>
    <t>Terreno Preço Venda</t>
  </si>
  <si>
    <t>Escritura</t>
  </si>
  <si>
    <t>Registro</t>
  </si>
  <si>
    <t>ITBI</t>
  </si>
  <si>
    <t>Corretagem 5%</t>
  </si>
  <si>
    <t>Terreno Dinheiro Livre na Mão</t>
  </si>
  <si>
    <t>Total em Dinheiro</t>
  </si>
  <si>
    <t>Lucro Declarado</t>
  </si>
  <si>
    <t>Imposto</t>
  </si>
  <si>
    <t>Lucro Líquido</t>
  </si>
  <si>
    <t>Margem Líquida</t>
  </si>
  <si>
    <t>CENARIO COM APTO</t>
  </si>
  <si>
    <t>Oferta Inicial c/ Transf</t>
  </si>
  <si>
    <t>Oferta Inicial s/ Transf</t>
  </si>
  <si>
    <t>Contra 1 c/ Transf</t>
  </si>
  <si>
    <t>Contra 1 s/ Transf</t>
  </si>
  <si>
    <t>Apartamento</t>
  </si>
  <si>
    <t>Apartamento Livre</t>
  </si>
  <si>
    <t>Dinheiro na Mão</t>
  </si>
  <si>
    <t>CENARIO DINHEIRO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</si>
</sst>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&quot;/&quot;yyyy"/>
    <numFmt numFmtId="165" formatCode="_-* #,##0.00_-;\-* #,##0.00_-;_-* &quot;-&quot;??_-;_-@"/>
    <numFmt numFmtId="166" formatCode="[$R$ -416]#,##0.00"/>
  </numFmts>
  <fonts count="19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1.0"/>
      <color rgb="FF000000"/>
      <name val="Inconsolata"/>
    </font>
    <font>
      <color theme="1"/>
      <name val="Arial"/>
      <scheme val="minor"/>
    </font>
    <font>
      <b/>
      <sz val="12.0"/>
      <color theme="1"/>
      <name val="Calibri"/>
    </font>
    <font/>
    <font>
      <sz val="11.0"/>
      <color theme="1"/>
      <name val="Calibri"/>
    </font>
    <font>
      <sz val="12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b/>
      <sz val="12.0"/>
      <color rgb="FF000000"/>
      <name val="Calibri"/>
    </font>
    <font>
      <b/>
      <sz val="12.0"/>
      <color rgb="FFFFFFFF"/>
      <name val="Calibri"/>
    </font>
    <font>
      <b/>
      <sz val="11.0"/>
      <color theme="1"/>
      <name val="Arial"/>
    </font>
    <font>
      <i/>
      <sz val="10.0"/>
      <color theme="1"/>
      <name val="Arial"/>
    </font>
    <font>
      <color theme="1"/>
      <name val="Arial"/>
    </font>
    <font>
      <b/>
      <color theme="1"/>
      <name val="Arial"/>
    </font>
    <font>
      <b/>
      <sz val="12.0"/>
      <color theme="1"/>
      <name val="Arial"/>
    </font>
    <font>
      <i/>
      <color theme="1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F6B26B"/>
        <bgColor rgb="FFF6B26B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BD4B4"/>
        <bgColor rgb="FFFBD4B4"/>
      </patternFill>
    </fill>
    <fill>
      <patternFill patternType="solid">
        <fgColor rgb="FFFDE9D9"/>
        <bgColor rgb="FFFDE9D9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FD966"/>
        <bgColor rgb="FFFFD966"/>
      </patternFill>
    </fill>
    <fill>
      <patternFill patternType="solid">
        <fgColor rgb="FFE69138"/>
        <bgColor rgb="FFE69138"/>
      </patternFill>
    </fill>
    <fill>
      <patternFill patternType="solid">
        <fgColor rgb="FFFABF8F"/>
        <bgColor rgb="FFFABF8F"/>
      </patternFill>
    </fill>
    <fill>
      <patternFill patternType="solid">
        <fgColor rgb="FF0B5394"/>
        <bgColor rgb="FF0B5394"/>
      </patternFill>
    </fill>
    <fill>
      <patternFill patternType="solid">
        <fgColor rgb="FF1155CC"/>
        <bgColor rgb="FF1155C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48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top style="thin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/>
      <top/>
      <bottom style="thin">
        <color rgb="FF000000"/>
      </bottom>
    </border>
    <border>
      <left style="double">
        <color rgb="FF000000"/>
      </left>
      <top/>
      <bottom style="thin">
        <color rgb="FF000000"/>
      </bottom>
    </border>
    <border>
      <right style="double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/>
      <right style="double">
        <color rgb="FF000000"/>
      </right>
      <top/>
      <bottom style="thin">
        <color rgb="FF000000"/>
      </bottom>
    </border>
    <border>
      <left style="double">
        <color rgb="FF000000"/>
      </left>
      <right/>
      <top/>
      <bottom style="double">
        <color rgb="FF000000"/>
      </bottom>
    </border>
    <border>
      <left style="double">
        <color rgb="FF000000"/>
      </left>
      <right style="thin">
        <color rgb="FF000000"/>
      </right>
      <top/>
      <bottom style="double">
        <color rgb="FF000000"/>
      </bottom>
    </border>
    <border>
      <left/>
      <right style="double">
        <color rgb="FF000000"/>
      </right>
      <top/>
      <bottom style="double">
        <color rgb="FF000000"/>
      </bottom>
    </border>
    <border>
      <left style="double">
        <color rgb="FF000000"/>
      </left>
      <right/>
      <top style="double">
        <color rgb="FF000000"/>
      </top>
      <bottom style="thin">
        <color rgb="FF000000"/>
      </bottom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/>
      <top style="double">
        <color rgb="FF000000"/>
      </top>
      <bottom style="thin">
        <color rgb="FF000000"/>
      </bottom>
    </border>
    <border>
      <right/>
      <top style="double">
        <color rgb="FF000000"/>
      </top>
      <bottom style="thin">
        <color rgb="FF000000"/>
      </bottom>
    </border>
    <border>
      <left/>
      <right style="double">
        <color rgb="FF000000"/>
      </right>
      <top style="double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horizontal="center" vertical="center"/>
    </xf>
    <xf borderId="0" fillId="0" fontId="2" numFmtId="4" xfId="0" applyAlignment="1" applyFont="1" applyNumberFormat="1">
      <alignment horizontal="right" vertical="center"/>
    </xf>
    <xf borderId="1" fillId="3" fontId="2" numFmtId="0" xfId="0" applyAlignment="1" applyBorder="1" applyFill="1" applyFont="1">
      <alignment horizontal="center" vertical="center"/>
    </xf>
    <xf borderId="1" fillId="4" fontId="3" numFmtId="0" xfId="0" applyBorder="1" applyFill="1" applyFont="1"/>
    <xf borderId="1" fillId="3" fontId="3" numFmtId="0" xfId="0" applyAlignment="1" applyBorder="1" applyFont="1">
      <alignment horizontal="center"/>
    </xf>
    <xf borderId="1" fillId="5" fontId="2" numFmtId="0" xfId="0" applyAlignment="1" applyBorder="1" applyFill="1" applyFont="1">
      <alignment horizontal="center" vertical="center"/>
    </xf>
    <xf borderId="1" fillId="6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Font="1"/>
    <xf borderId="0" fillId="0" fontId="2" numFmtId="164" xfId="0" applyAlignment="1" applyFont="1" applyNumberFormat="1">
      <alignment horizontal="center"/>
    </xf>
    <xf borderId="0" fillId="0" fontId="2" numFmtId="4" xfId="0" applyAlignment="1" applyFont="1" applyNumberFormat="1">
      <alignment horizontal="right"/>
    </xf>
    <xf borderId="0" fillId="0" fontId="2" numFmtId="0" xfId="0" applyAlignment="1" applyFont="1">
      <alignment horizontal="center"/>
    </xf>
    <xf borderId="1" fillId="6" fontId="2" numFmtId="0" xfId="0" applyAlignment="1" applyBorder="1" applyFont="1">
      <alignment vertical="center"/>
    </xf>
    <xf borderId="1" fillId="6" fontId="2" numFmtId="164" xfId="0" applyAlignment="1" applyBorder="1" applyFont="1" applyNumberFormat="1">
      <alignment horizontal="center" vertical="center"/>
    </xf>
    <xf borderId="1" fillId="6" fontId="2" numFmtId="4" xfId="0" applyAlignment="1" applyBorder="1" applyFont="1" applyNumberFormat="1">
      <alignment horizontal="right" vertical="center"/>
    </xf>
    <xf borderId="0" fillId="0" fontId="2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2" numFmtId="4" xfId="0" applyAlignment="1" applyFont="1" applyNumberFormat="1">
      <alignment horizontal="right" readingOrder="0" vertical="center"/>
    </xf>
    <xf borderId="0" fillId="0" fontId="2" numFmtId="0" xfId="0" applyAlignment="1" applyFont="1">
      <alignment horizontal="center" readingOrder="0" vertical="center"/>
    </xf>
    <xf borderId="0" fillId="0" fontId="4" numFmtId="0" xfId="0" applyFont="1"/>
    <xf borderId="0" fillId="0" fontId="5" numFmtId="0" xfId="0" applyAlignment="1" applyFont="1">
      <alignment horizontal="center" vertical="center"/>
    </xf>
    <xf borderId="2" fillId="7" fontId="1" numFmtId="0" xfId="0" applyAlignment="1" applyBorder="1" applyFill="1" applyFont="1">
      <alignment horizontal="center" vertical="center"/>
    </xf>
    <xf borderId="3" fillId="0" fontId="6" numFmtId="0" xfId="0" applyBorder="1" applyFont="1"/>
    <xf borderId="4" fillId="0" fontId="6" numFmtId="0" xfId="0" applyBorder="1" applyFont="1"/>
    <xf borderId="2" fillId="8" fontId="1" numFmtId="0" xfId="0" applyAlignment="1" applyBorder="1" applyFill="1" applyFont="1">
      <alignment horizontal="center" vertical="center"/>
    </xf>
    <xf borderId="5" fillId="0" fontId="7" numFmtId="0" xfId="0" applyAlignment="1" applyBorder="1" applyFont="1">
      <alignment vertical="center"/>
    </xf>
    <xf borderId="6" fillId="9" fontId="5" numFmtId="0" xfId="0" applyAlignment="1" applyBorder="1" applyFill="1" applyFont="1">
      <alignment horizontal="center" vertical="center"/>
    </xf>
    <xf borderId="7" fillId="10" fontId="8" numFmtId="0" xfId="0" applyAlignment="1" applyBorder="1" applyFill="1" applyFont="1">
      <alignment horizontal="center" vertical="center"/>
    </xf>
    <xf borderId="8" fillId="9" fontId="5" numFmtId="0" xfId="0" applyAlignment="1" applyBorder="1" applyFont="1">
      <alignment horizontal="center" vertical="center"/>
    </xf>
    <xf borderId="9" fillId="11" fontId="9" numFmtId="0" xfId="0" applyAlignment="1" applyBorder="1" applyFill="1" applyFont="1">
      <alignment horizontal="center" shrinkToFit="0" vertical="center" wrapText="1"/>
    </xf>
    <xf borderId="10" fillId="10" fontId="9" numFmtId="0" xfId="0" applyAlignment="1" applyBorder="1" applyFont="1">
      <alignment horizontal="center" shrinkToFit="0" vertical="center" wrapText="1"/>
    </xf>
    <xf borderId="9" fillId="3" fontId="9" numFmtId="0" xfId="0" applyAlignment="1" applyBorder="1" applyFont="1">
      <alignment horizontal="center" shrinkToFit="0" vertical="center" wrapText="1"/>
    </xf>
    <xf borderId="11" fillId="3" fontId="9" numFmtId="0" xfId="0" applyAlignment="1" applyBorder="1" applyFont="1">
      <alignment vertical="center"/>
    </xf>
    <xf borderId="12" fillId="3" fontId="10" numFmtId="4" xfId="0" applyAlignment="1" applyBorder="1" applyFont="1" applyNumberFormat="1">
      <alignment horizontal="center" vertical="center"/>
    </xf>
    <xf borderId="13" fillId="3" fontId="10" numFmtId="10" xfId="0" applyAlignment="1" applyBorder="1" applyFont="1" applyNumberFormat="1">
      <alignment horizontal="center" vertical="center"/>
    </xf>
    <xf borderId="8" fillId="3" fontId="9" numFmtId="4" xfId="0" applyAlignment="1" applyBorder="1" applyFont="1" applyNumberFormat="1">
      <alignment horizontal="center" vertical="center"/>
    </xf>
    <xf borderId="0" fillId="0" fontId="2" numFmtId="4" xfId="0" applyAlignment="1" applyFont="1" applyNumberFormat="1">
      <alignment vertical="center"/>
    </xf>
    <xf borderId="9" fillId="12" fontId="9" numFmtId="4" xfId="0" applyAlignment="1" applyBorder="1" applyFill="1" applyFont="1" applyNumberFormat="1">
      <alignment horizontal="right" shrinkToFit="0" vertical="center" wrapText="1"/>
    </xf>
    <xf borderId="9" fillId="13" fontId="9" numFmtId="4" xfId="0" applyAlignment="1" applyBorder="1" applyFill="1" applyFont="1" applyNumberFormat="1">
      <alignment horizontal="right" shrinkToFit="0" vertical="center" wrapText="1"/>
    </xf>
    <xf borderId="9" fillId="14" fontId="9" numFmtId="4" xfId="0" applyAlignment="1" applyBorder="1" applyFill="1" applyFont="1" applyNumberFormat="1">
      <alignment horizontal="right" shrinkToFit="0" vertical="center" wrapText="1"/>
    </xf>
    <xf borderId="9" fillId="14" fontId="9" numFmtId="10" xfId="0" applyAlignment="1" applyBorder="1" applyFont="1" applyNumberFormat="1">
      <alignment horizontal="right" shrinkToFit="0" vertical="center" wrapText="1"/>
    </xf>
    <xf borderId="2" fillId="0" fontId="9" numFmtId="0" xfId="0" applyAlignment="1" applyBorder="1" applyFont="1">
      <alignment vertical="center"/>
    </xf>
    <xf borderId="12" fillId="4" fontId="10" numFmtId="4" xfId="0" applyAlignment="1" applyBorder="1" applyFont="1" applyNumberFormat="1">
      <alignment horizontal="center" vertical="center"/>
    </xf>
    <xf borderId="13" fillId="4" fontId="10" numFmtId="10" xfId="0" applyAlignment="1" applyBorder="1" applyFont="1" applyNumberFormat="1">
      <alignment horizontal="center" vertical="center"/>
    </xf>
    <xf borderId="8" fillId="4" fontId="9" numFmtId="4" xfId="0" applyAlignment="1" applyBorder="1" applyFont="1" applyNumberFormat="1">
      <alignment horizontal="center" vertical="center"/>
    </xf>
    <xf borderId="14" fillId="3" fontId="9" numFmtId="0" xfId="0" applyAlignment="1" applyBorder="1" applyFont="1">
      <alignment vertical="center"/>
    </xf>
    <xf borderId="9" fillId="14" fontId="9" numFmtId="4" xfId="0" applyAlignment="1" applyBorder="1" applyFont="1" applyNumberFormat="1">
      <alignment vertical="center"/>
    </xf>
    <xf borderId="9" fillId="14" fontId="9" numFmtId="10" xfId="0" applyAlignment="1" applyBorder="1" applyFont="1" applyNumberFormat="1">
      <alignment vertical="center"/>
    </xf>
    <xf borderId="15" fillId="0" fontId="9" numFmtId="0" xfId="0" applyAlignment="1" applyBorder="1" applyFont="1">
      <alignment vertical="center"/>
    </xf>
    <xf borderId="16" fillId="3" fontId="9" numFmtId="0" xfId="0" applyAlignment="1" applyBorder="1" applyFont="1">
      <alignment vertical="center"/>
    </xf>
    <xf borderId="17" fillId="0" fontId="7" numFmtId="0" xfId="0" applyAlignment="1" applyBorder="1" applyFont="1">
      <alignment vertical="center"/>
    </xf>
    <xf borderId="18" fillId="8" fontId="11" numFmtId="4" xfId="0" applyAlignment="1" applyBorder="1" applyFont="1" applyNumberFormat="1">
      <alignment horizontal="center" vertical="center"/>
    </xf>
    <xf borderId="19" fillId="0" fontId="6" numFmtId="0" xfId="0" applyBorder="1" applyFont="1"/>
    <xf borderId="18" fillId="15" fontId="11" numFmtId="4" xfId="0" applyAlignment="1" applyBorder="1" applyFill="1" applyFont="1" applyNumberFormat="1">
      <alignment horizontal="center" vertical="center"/>
    </xf>
    <xf borderId="18" fillId="16" fontId="11" numFmtId="4" xfId="0" applyAlignment="1" applyBorder="1" applyFill="1" applyFont="1" applyNumberFormat="1">
      <alignment horizontal="center" vertical="center"/>
    </xf>
    <xf borderId="20" fillId="17" fontId="5" numFmtId="165" xfId="0" applyAlignment="1" applyBorder="1" applyFill="1" applyFont="1" applyNumberFormat="1">
      <alignment horizontal="center" shrinkToFit="0" vertical="center" wrapText="1"/>
    </xf>
    <xf borderId="20" fillId="13" fontId="5" numFmtId="4" xfId="0" applyAlignment="1" applyBorder="1" applyFont="1" applyNumberFormat="1">
      <alignment vertical="center"/>
    </xf>
    <xf borderId="21" fillId="14" fontId="5" numFmtId="4" xfId="0" applyAlignment="1" applyBorder="1" applyFont="1" applyNumberFormat="1">
      <alignment vertical="center"/>
    </xf>
    <xf borderId="21" fillId="14" fontId="5" numFmtId="10" xfId="0" applyAlignment="1" applyBorder="1" applyFont="1" applyNumberFormat="1">
      <alignment horizontal="right" vertical="center"/>
    </xf>
    <xf borderId="22" fillId="18" fontId="12" numFmtId="0" xfId="0" applyAlignment="1" applyBorder="1" applyFill="1" applyFont="1">
      <alignment vertical="center"/>
    </xf>
    <xf borderId="23" fillId="8" fontId="5" numFmtId="4" xfId="0" applyAlignment="1" applyBorder="1" applyFont="1" applyNumberFormat="1">
      <alignment horizontal="center" vertical="center"/>
    </xf>
    <xf borderId="24" fillId="8" fontId="5" numFmtId="10" xfId="0" applyAlignment="1" applyBorder="1" applyFont="1" applyNumberFormat="1">
      <alignment horizontal="center" vertical="center"/>
    </xf>
    <xf borderId="23" fillId="15" fontId="5" numFmtId="4" xfId="0" applyAlignment="1" applyBorder="1" applyFont="1" applyNumberFormat="1">
      <alignment horizontal="center" vertical="center"/>
    </xf>
    <xf borderId="24" fillId="15" fontId="5" numFmtId="10" xfId="0" applyAlignment="1" applyBorder="1" applyFont="1" applyNumberFormat="1">
      <alignment horizontal="center" vertical="center"/>
    </xf>
    <xf borderId="23" fillId="16" fontId="5" numFmtId="4" xfId="0" applyAlignment="1" applyBorder="1" applyFont="1" applyNumberFormat="1">
      <alignment horizontal="center" vertical="center"/>
    </xf>
    <xf borderId="24" fillId="16" fontId="5" numFmtId="10" xfId="0" applyAlignment="1" applyBorder="1" applyFont="1" applyNumberFormat="1">
      <alignment horizontal="center" vertical="center"/>
    </xf>
    <xf borderId="22" fillId="19" fontId="12" numFmtId="4" xfId="0" applyAlignment="1" applyBorder="1" applyFill="1" applyFont="1" applyNumberFormat="1">
      <alignment horizontal="center" vertical="center"/>
    </xf>
    <xf borderId="25" fillId="0" fontId="6" numFmtId="0" xfId="0" applyBorder="1" applyFont="1"/>
    <xf borderId="26" fillId="0" fontId="6" numFmtId="0" xfId="0" applyBorder="1" applyFont="1"/>
    <xf borderId="27" fillId="20" fontId="13" numFmtId="0" xfId="0" applyAlignment="1" applyBorder="1" applyFill="1" applyFont="1">
      <alignment vertical="center"/>
    </xf>
    <xf borderId="28" fillId="0" fontId="6" numFmtId="0" xfId="0" applyBorder="1" applyFont="1"/>
    <xf borderId="29" fillId="0" fontId="6" numFmtId="0" xfId="0" applyBorder="1" applyFont="1"/>
    <xf borderId="30" fillId="5" fontId="1" numFmtId="0" xfId="0" applyAlignment="1" applyBorder="1" applyFont="1">
      <alignment horizontal="left" vertical="center"/>
    </xf>
    <xf borderId="31" fillId="5" fontId="1" numFmtId="0" xfId="0" applyAlignment="1" applyBorder="1" applyFont="1">
      <alignment horizontal="center" vertical="center"/>
    </xf>
    <xf borderId="32" fillId="0" fontId="6" numFmtId="0" xfId="0" applyBorder="1" applyFont="1"/>
    <xf borderId="33" fillId="5" fontId="1" numFmtId="0" xfId="0" applyAlignment="1" applyBorder="1" applyFont="1">
      <alignment horizontal="center" vertical="center"/>
    </xf>
    <xf borderId="34" fillId="0" fontId="6" numFmtId="0" xfId="0" applyBorder="1" applyFont="1"/>
    <xf borderId="35" fillId="5" fontId="2" numFmtId="0" xfId="0" applyAlignment="1" applyBorder="1" applyFont="1">
      <alignment vertical="center"/>
    </xf>
    <xf borderId="36" fillId="5" fontId="14" numFmtId="0" xfId="0" applyAlignment="1" applyBorder="1" applyFont="1">
      <alignment vertical="center"/>
    </xf>
    <xf borderId="37" fillId="5" fontId="2" numFmtId="2" xfId="0" applyAlignment="1" applyBorder="1" applyFont="1" applyNumberFormat="1">
      <alignment horizontal="center" vertical="center"/>
    </xf>
    <xf borderId="38" fillId="5" fontId="2" numFmtId="10" xfId="0" applyAlignment="1" applyBorder="1" applyFont="1" applyNumberFormat="1">
      <alignment horizontal="center" vertical="center"/>
    </xf>
    <xf borderId="38" fillId="5" fontId="13" numFmtId="2" xfId="0" applyAlignment="1" applyBorder="1" applyFont="1" applyNumberFormat="1">
      <alignment horizontal="center" vertical="center"/>
    </xf>
    <xf borderId="39" fillId="5" fontId="1" numFmtId="0" xfId="0" applyAlignment="1" applyBorder="1" applyFont="1">
      <alignment horizontal="left" vertical="center"/>
    </xf>
    <xf borderId="40" fillId="5" fontId="1" numFmtId="0" xfId="0" applyAlignment="1" applyBorder="1" applyFont="1">
      <alignment horizontal="center" vertical="center"/>
    </xf>
    <xf borderId="41" fillId="0" fontId="6" numFmtId="0" xfId="0" applyBorder="1" applyFont="1"/>
    <xf borderId="42" fillId="5" fontId="1" numFmtId="0" xfId="0" applyAlignment="1" applyBorder="1" applyFont="1">
      <alignment horizontal="center" vertical="center"/>
    </xf>
    <xf borderId="43" fillId="0" fontId="6" numFmtId="0" xfId="0" applyBorder="1" applyFont="1"/>
    <xf borderId="44" fillId="5" fontId="2" numFmtId="0" xfId="0" applyAlignment="1" applyBorder="1" applyFont="1">
      <alignment vertical="center"/>
    </xf>
    <xf borderId="0" fillId="0" fontId="15" numFmtId="0" xfId="0" applyAlignment="1" applyFont="1">
      <alignment vertical="bottom"/>
    </xf>
    <xf borderId="0" fillId="0" fontId="16" numFmtId="0" xfId="0" applyAlignment="1" applyFont="1">
      <alignment readingOrder="0" vertical="bottom"/>
    </xf>
    <xf borderId="0" fillId="0" fontId="15" numFmtId="166" xfId="0" applyAlignment="1" applyFont="1" applyNumberFormat="1">
      <alignment vertical="bottom"/>
    </xf>
    <xf borderId="5" fillId="0" fontId="15" numFmtId="166" xfId="0" applyAlignment="1" applyBorder="1" applyFont="1" applyNumberFormat="1">
      <alignment vertical="bottom"/>
    </xf>
    <xf borderId="9" fillId="0" fontId="17" numFmtId="3" xfId="0" applyAlignment="1" applyBorder="1" applyFont="1" applyNumberFormat="1">
      <alignment horizontal="center" readingOrder="0" vertical="bottom"/>
    </xf>
    <xf borderId="20" fillId="21" fontId="16" numFmtId="0" xfId="0" applyAlignment="1" applyBorder="1" applyFill="1" applyFont="1">
      <alignment vertical="bottom"/>
    </xf>
    <xf borderId="45" fillId="21" fontId="16" numFmtId="166" xfId="0" applyAlignment="1" applyBorder="1" applyFont="1" applyNumberFormat="1">
      <alignment horizontal="right" readingOrder="0" vertical="bottom"/>
    </xf>
    <xf borderId="46" fillId="21" fontId="15" numFmtId="0" xfId="0" applyAlignment="1" applyBorder="1" applyFont="1">
      <alignment vertical="bottom"/>
    </xf>
    <xf borderId="45" fillId="21" fontId="15" numFmtId="166" xfId="0" applyAlignment="1" applyBorder="1" applyFont="1" applyNumberFormat="1">
      <alignment vertical="bottom"/>
    </xf>
    <xf borderId="46" fillId="21" fontId="16" numFmtId="0" xfId="0" applyAlignment="1" applyBorder="1" applyFont="1">
      <alignment readingOrder="0" vertical="bottom"/>
    </xf>
    <xf borderId="45" fillId="21" fontId="15" numFmtId="166" xfId="0" applyAlignment="1" applyBorder="1" applyFont="1" applyNumberFormat="1">
      <alignment horizontal="right" readingOrder="0" vertical="bottom"/>
    </xf>
    <xf borderId="46" fillId="21" fontId="18" numFmtId="0" xfId="0" applyAlignment="1" applyBorder="1" applyFont="1">
      <alignment horizontal="right" vertical="bottom"/>
    </xf>
    <xf borderId="46" fillId="21" fontId="15" numFmtId="0" xfId="0" applyAlignment="1" applyBorder="1" applyFont="1">
      <alignment horizontal="right" readingOrder="0" vertical="bottom"/>
    </xf>
    <xf borderId="45" fillId="21" fontId="15" numFmtId="166" xfId="0" applyAlignment="1" applyBorder="1" applyFont="1" applyNumberFormat="1">
      <alignment horizontal="right" vertical="bottom"/>
    </xf>
    <xf borderId="45" fillId="21" fontId="16" numFmtId="166" xfId="0" applyAlignment="1" applyBorder="1" applyFont="1" applyNumberFormat="1">
      <alignment horizontal="right" vertical="bottom"/>
    </xf>
    <xf borderId="46" fillId="0" fontId="15" numFmtId="0" xfId="0" applyAlignment="1" applyBorder="1" applyFont="1">
      <alignment vertical="bottom"/>
    </xf>
    <xf borderId="45" fillId="0" fontId="15" numFmtId="0" xfId="0" applyAlignment="1" applyBorder="1" applyFont="1">
      <alignment vertical="bottom"/>
    </xf>
    <xf borderId="25" fillId="21" fontId="16" numFmtId="0" xfId="0" applyAlignment="1" applyBorder="1" applyFont="1">
      <alignment vertical="bottom"/>
    </xf>
    <xf borderId="47" fillId="21" fontId="16" numFmtId="10" xfId="0" applyAlignment="1" applyBorder="1" applyFont="1" applyNumberFormat="1">
      <alignment horizontal="right" vertical="bottom"/>
    </xf>
    <xf borderId="47" fillId="21" fontId="15" numFmtId="10" xfId="0" applyAlignment="1" applyBorder="1" applyFont="1" applyNumberFormat="1">
      <alignment horizontal="right" vertical="bottom"/>
    </xf>
    <xf borderId="46" fillId="21" fontId="15" numFmtId="0" xfId="0" applyAlignment="1" applyBorder="1" applyFont="1">
      <alignment readingOrder="0" vertical="bottom"/>
    </xf>
    <xf borderId="25" fillId="21" fontId="15" numFmtId="0" xfId="0" applyAlignment="1" applyBorder="1" applyFont="1">
      <alignment vertical="bottom"/>
    </xf>
    <xf borderId="0" fillId="0" fontId="15" numFmtId="0" xfId="0" applyFont="1"/>
    <xf borderId="0" fillId="0" fontId="15" numFmtId="164" xfId="0" applyAlignment="1" applyFont="1" applyNumberFormat="1">
      <alignment horizontal="center" readingOrder="0"/>
    </xf>
    <xf borderId="0" fillId="0" fontId="15" numFmtId="4" xfId="0" applyAlignment="1" applyFont="1" applyNumberFormat="1">
      <alignment horizontal="right"/>
    </xf>
    <xf borderId="0" fillId="4" fontId="3" numFmtId="0" xfId="0" applyFont="1"/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0"/>
    <col customWidth="1" min="2" max="2" width="12.63"/>
    <col customWidth="1" min="3" max="3" width="11.0"/>
    <col customWidth="1" min="4" max="4" width="65.13"/>
    <col customWidth="1" min="5" max="5" width="12.63"/>
    <col customWidth="1" min="6" max="8" width="10.13"/>
    <col customWidth="1" min="9" max="9" width="14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3" t="s">
        <v>8</v>
      </c>
      <c r="B2" s="4">
        <v>44335.0</v>
      </c>
      <c r="C2" s="3" t="s">
        <v>9</v>
      </c>
      <c r="D2" s="3" t="s">
        <v>10</v>
      </c>
      <c r="E2" s="5">
        <v>67.0</v>
      </c>
      <c r="F2" s="6"/>
      <c r="G2" s="6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 t="s">
        <v>11</v>
      </c>
      <c r="B3" s="4">
        <v>44336.0</v>
      </c>
      <c r="C3" s="3" t="s">
        <v>9</v>
      </c>
      <c r="D3" s="3" t="s">
        <v>12</v>
      </c>
      <c r="E3" s="5">
        <v>88.83</v>
      </c>
      <c r="F3" s="6"/>
      <c r="G3" s="6"/>
      <c r="H3" s="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 t="s">
        <v>11</v>
      </c>
      <c r="B4" s="4">
        <v>44336.0</v>
      </c>
      <c r="C4" s="3" t="s">
        <v>9</v>
      </c>
      <c r="D4" s="3" t="s">
        <v>13</v>
      </c>
      <c r="E4" s="5">
        <v>59.07</v>
      </c>
      <c r="F4" s="6"/>
      <c r="G4" s="6"/>
      <c r="H4" s="6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 t="s">
        <v>11</v>
      </c>
      <c r="B5" s="4">
        <v>44336.0</v>
      </c>
      <c r="C5" s="3" t="s">
        <v>9</v>
      </c>
      <c r="D5" s="3" t="s">
        <v>14</v>
      </c>
      <c r="E5" s="5">
        <v>21.04</v>
      </c>
      <c r="F5" s="6"/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 t="s">
        <v>11</v>
      </c>
      <c r="B6" s="4">
        <v>44336.0</v>
      </c>
      <c r="C6" s="3" t="s">
        <v>15</v>
      </c>
      <c r="D6" s="3" t="s">
        <v>14</v>
      </c>
      <c r="E6" s="5">
        <v>21.04</v>
      </c>
      <c r="F6" s="6"/>
      <c r="G6" s="6"/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 t="s">
        <v>16</v>
      </c>
      <c r="B7" s="4">
        <v>44349.0</v>
      </c>
      <c r="C7" s="3" t="s">
        <v>9</v>
      </c>
      <c r="D7" s="3" t="s">
        <v>17</v>
      </c>
      <c r="E7" s="5">
        <v>90000.0</v>
      </c>
      <c r="F7" s="6"/>
      <c r="G7" s="6"/>
      <c r="H7" s="6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 t="s">
        <v>16</v>
      </c>
      <c r="B8" s="4">
        <v>44349.0</v>
      </c>
      <c r="C8" s="3" t="s">
        <v>15</v>
      </c>
      <c r="D8" s="3" t="s">
        <v>17</v>
      </c>
      <c r="E8" s="5">
        <v>90000.0</v>
      </c>
      <c r="F8" s="6"/>
      <c r="G8" s="6"/>
      <c r="H8" s="6"/>
      <c r="I8" s="7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 t="s">
        <v>11</v>
      </c>
      <c r="B9" s="4">
        <v>44349.0</v>
      </c>
      <c r="C9" s="3" t="s">
        <v>9</v>
      </c>
      <c r="D9" s="3" t="s">
        <v>18</v>
      </c>
      <c r="E9" s="5">
        <v>1500.0</v>
      </c>
      <c r="F9" s="6"/>
      <c r="G9" s="6"/>
      <c r="H9" s="8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 t="s">
        <v>11</v>
      </c>
      <c r="B10" s="4">
        <v>44349.0</v>
      </c>
      <c r="C10" s="3" t="s">
        <v>9</v>
      </c>
      <c r="D10" s="3" t="s">
        <v>19</v>
      </c>
      <c r="E10" s="5">
        <v>1309.43</v>
      </c>
      <c r="F10" s="6"/>
      <c r="G10" s="6"/>
      <c r="H10" s="6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 t="s">
        <v>11</v>
      </c>
      <c r="B11" s="4">
        <v>44349.0</v>
      </c>
      <c r="C11" s="3" t="s">
        <v>15</v>
      </c>
      <c r="D11" s="3" t="s">
        <v>18</v>
      </c>
      <c r="E11" s="5">
        <v>1500.0</v>
      </c>
      <c r="F11" s="6"/>
      <c r="G11" s="6"/>
      <c r="H11" s="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 t="s">
        <v>11</v>
      </c>
      <c r="B12" s="4">
        <v>44349.0</v>
      </c>
      <c r="C12" s="3" t="s">
        <v>15</v>
      </c>
      <c r="D12" s="3" t="s">
        <v>19</v>
      </c>
      <c r="E12" s="5">
        <v>1309.43</v>
      </c>
      <c r="F12" s="6"/>
      <c r="G12" s="6"/>
      <c r="H12" s="6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 t="s">
        <v>16</v>
      </c>
      <c r="B13" s="4">
        <v>44350.0</v>
      </c>
      <c r="C13" s="3" t="s">
        <v>9</v>
      </c>
      <c r="D13" s="3" t="s">
        <v>20</v>
      </c>
      <c r="E13" s="5">
        <v>500.0</v>
      </c>
      <c r="F13" s="6"/>
      <c r="G13" s="6"/>
      <c r="H13" s="6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 t="s">
        <v>16</v>
      </c>
      <c r="B14" s="4">
        <v>44350.0</v>
      </c>
      <c r="C14" s="3" t="s">
        <v>15</v>
      </c>
      <c r="D14" s="3" t="s">
        <v>20</v>
      </c>
      <c r="E14" s="5">
        <v>500.0</v>
      </c>
      <c r="F14" s="6"/>
      <c r="G14" s="6"/>
      <c r="H14" s="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 t="s">
        <v>11</v>
      </c>
      <c r="B15" s="4">
        <v>44350.0</v>
      </c>
      <c r="C15" s="3" t="s">
        <v>9</v>
      </c>
      <c r="D15" s="3" t="s">
        <v>21</v>
      </c>
      <c r="E15" s="5">
        <v>963.64</v>
      </c>
      <c r="F15" s="6"/>
      <c r="G15" s="6"/>
      <c r="H15" s="6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 t="s">
        <v>11</v>
      </c>
      <c r="B16" s="4">
        <v>44350.0</v>
      </c>
      <c r="C16" s="3" t="s">
        <v>22</v>
      </c>
      <c r="D16" s="3" t="s">
        <v>23</v>
      </c>
      <c r="E16" s="5">
        <v>36.23</v>
      </c>
      <c r="F16" s="6"/>
      <c r="G16" s="6"/>
      <c r="H16" s="6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 t="s">
        <v>11</v>
      </c>
      <c r="B17" s="4">
        <v>44350.0</v>
      </c>
      <c r="C17" s="3" t="s">
        <v>22</v>
      </c>
      <c r="D17" s="3" t="s">
        <v>24</v>
      </c>
      <c r="E17" s="5">
        <v>200.0</v>
      </c>
      <c r="F17" s="6"/>
      <c r="G17" s="6"/>
      <c r="H17" s="6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 t="s">
        <v>11</v>
      </c>
      <c r="B18" s="4">
        <v>44350.0</v>
      </c>
      <c r="C18" s="3" t="s">
        <v>15</v>
      </c>
      <c r="D18" s="3" t="s">
        <v>21</v>
      </c>
      <c r="E18" s="5">
        <v>963.64</v>
      </c>
      <c r="F18" s="6"/>
      <c r="G18" s="6"/>
      <c r="H18" s="6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 t="s">
        <v>25</v>
      </c>
      <c r="B19" s="4">
        <v>44350.0</v>
      </c>
      <c r="C19" s="3" t="s">
        <v>22</v>
      </c>
      <c r="D19" s="3" t="s">
        <v>26</v>
      </c>
      <c r="E19" s="5">
        <v>1306.66</v>
      </c>
      <c r="F19" s="6"/>
      <c r="G19" s="6"/>
      <c r="H19" s="6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 t="s">
        <v>27</v>
      </c>
      <c r="B20" s="4">
        <v>44350.0</v>
      </c>
      <c r="C20" s="3" t="s">
        <v>9</v>
      </c>
      <c r="D20" s="3" t="s">
        <v>28</v>
      </c>
      <c r="E20" s="5">
        <v>714.49</v>
      </c>
      <c r="F20" s="6"/>
      <c r="G20" s="6"/>
      <c r="H20" s="6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27</v>
      </c>
      <c r="B21" s="4">
        <v>44350.0</v>
      </c>
      <c r="C21" s="3" t="s">
        <v>22</v>
      </c>
      <c r="D21" s="3" t="s">
        <v>29</v>
      </c>
      <c r="E21" s="5">
        <v>642.69</v>
      </c>
      <c r="F21" s="6"/>
      <c r="G21" s="6"/>
      <c r="H21" s="6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25</v>
      </c>
      <c r="B22" s="4">
        <v>44403.0</v>
      </c>
      <c r="C22" s="3" t="s">
        <v>9</v>
      </c>
      <c r="D22" s="3" t="s">
        <v>30</v>
      </c>
      <c r="E22" s="5">
        <v>840.0</v>
      </c>
      <c r="F22" s="6"/>
      <c r="G22" s="6"/>
      <c r="H22" s="6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25</v>
      </c>
      <c r="B23" s="4">
        <v>44403.0</v>
      </c>
      <c r="C23" s="3" t="s">
        <v>15</v>
      </c>
      <c r="D23" s="3" t="s">
        <v>31</v>
      </c>
      <c r="E23" s="5">
        <v>840.0</v>
      </c>
      <c r="F23" s="6"/>
      <c r="G23" s="6"/>
      <c r="H23" s="6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25</v>
      </c>
      <c r="B24" s="4">
        <v>44438.0</v>
      </c>
      <c r="C24" s="3" t="s">
        <v>9</v>
      </c>
      <c r="D24" s="3" t="s">
        <v>32</v>
      </c>
      <c r="E24" s="5">
        <v>65.34</v>
      </c>
      <c r="F24" s="6"/>
      <c r="G24" s="6"/>
      <c r="H24" s="6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33</v>
      </c>
      <c r="B25" s="4">
        <v>44461.0</v>
      </c>
      <c r="C25" s="3" t="s">
        <v>22</v>
      </c>
      <c r="D25" s="3" t="s">
        <v>34</v>
      </c>
      <c r="E25" s="5">
        <v>144.0</v>
      </c>
      <c r="F25" s="6"/>
      <c r="G25" s="6"/>
      <c r="H25" s="6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33</v>
      </c>
      <c r="B26" s="4">
        <v>44461.0</v>
      </c>
      <c r="C26" s="3" t="s">
        <v>22</v>
      </c>
      <c r="D26" s="3" t="s">
        <v>35</v>
      </c>
      <c r="E26" s="5">
        <v>365.18</v>
      </c>
      <c r="F26" s="6"/>
      <c r="G26" s="6"/>
      <c r="H26" s="6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25</v>
      </c>
      <c r="B27" s="4">
        <v>44472.0</v>
      </c>
      <c r="C27" s="3" t="s">
        <v>9</v>
      </c>
      <c r="D27" s="3" t="s">
        <v>36</v>
      </c>
      <c r="E27" s="5">
        <v>1235.0</v>
      </c>
      <c r="F27" s="9"/>
      <c r="G27" s="9"/>
      <c r="H27" s="9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27</v>
      </c>
      <c r="B28" s="4">
        <v>44477.0</v>
      </c>
      <c r="C28" s="3" t="s">
        <v>22</v>
      </c>
      <c r="D28" s="3" t="s">
        <v>37</v>
      </c>
      <c r="E28" s="5">
        <v>248.09</v>
      </c>
      <c r="F28" s="9"/>
      <c r="G28" s="9"/>
      <c r="H28" s="9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25</v>
      </c>
      <c r="B29" s="4">
        <v>44480.0</v>
      </c>
      <c r="C29" s="3" t="s">
        <v>9</v>
      </c>
      <c r="D29" s="3" t="s">
        <v>38</v>
      </c>
      <c r="E29" s="5">
        <v>49.5</v>
      </c>
      <c r="F29" s="9"/>
      <c r="G29" s="9"/>
      <c r="H29" s="9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33</v>
      </c>
      <c r="B30" s="4">
        <v>44480.0</v>
      </c>
      <c r="C30" s="3" t="s">
        <v>22</v>
      </c>
      <c r="D30" s="3" t="s">
        <v>39</v>
      </c>
      <c r="E30" s="5">
        <v>110.4</v>
      </c>
      <c r="F30" s="9" t="s">
        <v>40</v>
      </c>
      <c r="G30" s="9" t="s">
        <v>41</v>
      </c>
      <c r="H30" s="9" t="s">
        <v>41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42</v>
      </c>
      <c r="B31" s="4">
        <v>44480.0</v>
      </c>
      <c r="C31" s="3" t="s">
        <v>9</v>
      </c>
      <c r="D31" s="3" t="s">
        <v>43</v>
      </c>
      <c r="E31" s="5">
        <v>2200.0</v>
      </c>
      <c r="F31" s="9" t="s">
        <v>41</v>
      </c>
      <c r="G31" s="9"/>
      <c r="H31" s="9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 t="s">
        <v>42</v>
      </c>
      <c r="B32" s="4">
        <v>44480.0</v>
      </c>
      <c r="C32" s="3" t="s">
        <v>15</v>
      </c>
      <c r="D32" s="3" t="s">
        <v>43</v>
      </c>
      <c r="E32" s="5">
        <v>2200.0</v>
      </c>
      <c r="F32" s="9" t="s">
        <v>41</v>
      </c>
      <c r="G32" s="9"/>
      <c r="H32" s="9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 t="s">
        <v>42</v>
      </c>
      <c r="B33" s="4">
        <v>44483.0</v>
      </c>
      <c r="C33" s="3" t="s">
        <v>22</v>
      </c>
      <c r="D33" s="3" t="s">
        <v>44</v>
      </c>
      <c r="E33" s="5">
        <v>82.8</v>
      </c>
      <c r="F33" s="9"/>
      <c r="G33" s="9" t="s">
        <v>41</v>
      </c>
      <c r="H33" s="9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">
        <v>45</v>
      </c>
      <c r="B34" s="4">
        <v>44483.0</v>
      </c>
      <c r="C34" s="3" t="s">
        <v>9</v>
      </c>
      <c r="D34" s="3" t="s">
        <v>46</v>
      </c>
      <c r="E34" s="5">
        <v>1800.0</v>
      </c>
      <c r="F34" s="9"/>
      <c r="G34" s="9"/>
      <c r="H34" s="9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 t="s">
        <v>45</v>
      </c>
      <c r="B35" s="4">
        <v>44484.0</v>
      </c>
      <c r="C35" s="3" t="s">
        <v>22</v>
      </c>
      <c r="D35" s="3" t="s">
        <v>47</v>
      </c>
      <c r="E35" s="5">
        <v>75.0</v>
      </c>
      <c r="F35" s="9" t="s">
        <v>41</v>
      </c>
      <c r="G35" s="9"/>
      <c r="H35" s="9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 t="s">
        <v>25</v>
      </c>
      <c r="B36" s="4">
        <v>44485.0</v>
      </c>
      <c r="C36" s="3" t="s">
        <v>9</v>
      </c>
      <c r="D36" s="3" t="s">
        <v>48</v>
      </c>
      <c r="E36" s="5">
        <v>7.3</v>
      </c>
      <c r="F36" s="9" t="s">
        <v>41</v>
      </c>
      <c r="G36" s="9" t="s">
        <v>40</v>
      </c>
      <c r="H36" s="9" t="s">
        <v>41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 t="s">
        <v>42</v>
      </c>
      <c r="B37" s="4">
        <v>44487.0</v>
      </c>
      <c r="C37" s="3" t="s">
        <v>22</v>
      </c>
      <c r="D37" s="3" t="s">
        <v>49</v>
      </c>
      <c r="E37" s="5">
        <v>79.0</v>
      </c>
      <c r="F37" s="9"/>
      <c r="G37" s="9"/>
      <c r="H37" s="9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 t="s">
        <v>42</v>
      </c>
      <c r="B38" s="4">
        <v>44487.0</v>
      </c>
      <c r="C38" s="3" t="s">
        <v>9</v>
      </c>
      <c r="D38" s="3" t="s">
        <v>50</v>
      </c>
      <c r="E38" s="5">
        <v>1716.0</v>
      </c>
      <c r="F38" s="9" t="s">
        <v>41</v>
      </c>
      <c r="G38" s="9" t="s">
        <v>40</v>
      </c>
      <c r="H38" s="9" t="s">
        <v>41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 t="s">
        <v>25</v>
      </c>
      <c r="B39" s="4">
        <v>44468.0</v>
      </c>
      <c r="C39" s="3" t="s">
        <v>22</v>
      </c>
      <c r="D39" s="3" t="s">
        <v>51</v>
      </c>
      <c r="E39" s="5">
        <v>748.67</v>
      </c>
      <c r="F39" s="9"/>
      <c r="G39" s="9"/>
      <c r="H39" s="9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 t="s">
        <v>25</v>
      </c>
      <c r="B40" s="4">
        <v>44489.0</v>
      </c>
      <c r="C40" s="3" t="s">
        <v>22</v>
      </c>
      <c r="D40" s="3" t="s">
        <v>52</v>
      </c>
      <c r="E40" s="5">
        <v>748.67</v>
      </c>
      <c r="F40" s="9" t="s">
        <v>40</v>
      </c>
      <c r="G40" s="9" t="s">
        <v>40</v>
      </c>
      <c r="H40" s="9" t="s">
        <v>41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 t="s">
        <v>42</v>
      </c>
      <c r="B41" s="4">
        <v>44489.0</v>
      </c>
      <c r="C41" s="3" t="s">
        <v>22</v>
      </c>
      <c r="D41" s="3" t="s">
        <v>53</v>
      </c>
      <c r="E41" s="5">
        <v>468.0</v>
      </c>
      <c r="F41" s="9" t="s">
        <v>41</v>
      </c>
      <c r="G41" s="9" t="s">
        <v>40</v>
      </c>
      <c r="H41" s="9" t="s">
        <v>41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 t="s">
        <v>42</v>
      </c>
      <c r="B42" s="4">
        <v>44490.0</v>
      </c>
      <c r="C42" s="3" t="s">
        <v>9</v>
      </c>
      <c r="D42" s="3" t="s">
        <v>54</v>
      </c>
      <c r="E42" s="5">
        <v>1400.0</v>
      </c>
      <c r="F42" s="9" t="s">
        <v>40</v>
      </c>
      <c r="G42" s="9" t="s">
        <v>40</v>
      </c>
      <c r="H42" s="9" t="s">
        <v>41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 t="s">
        <v>11</v>
      </c>
      <c r="B43" s="4">
        <v>44490.0</v>
      </c>
      <c r="C43" s="3" t="s">
        <v>9</v>
      </c>
      <c r="D43" s="3" t="s">
        <v>55</v>
      </c>
      <c r="E43" s="5">
        <v>258.74</v>
      </c>
      <c r="F43" s="9" t="s">
        <v>41</v>
      </c>
      <c r="G43" s="9" t="s">
        <v>40</v>
      </c>
      <c r="H43" s="9" t="s">
        <v>41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 t="s">
        <v>25</v>
      </c>
      <c r="B44" s="4">
        <v>44491.0</v>
      </c>
      <c r="C44" s="3" t="s">
        <v>22</v>
      </c>
      <c r="D44" s="3" t="s">
        <v>56</v>
      </c>
      <c r="E44" s="5">
        <v>29.0</v>
      </c>
      <c r="F44" s="9" t="s">
        <v>41</v>
      </c>
      <c r="G44" s="9"/>
      <c r="H44" s="9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 t="s">
        <v>25</v>
      </c>
      <c r="B45" s="4">
        <v>44491.0</v>
      </c>
      <c r="C45" s="3" t="s">
        <v>9</v>
      </c>
      <c r="D45" s="3" t="s">
        <v>57</v>
      </c>
      <c r="E45" s="5">
        <v>43.8</v>
      </c>
      <c r="F45" s="9" t="s">
        <v>41</v>
      </c>
      <c r="G45" s="9"/>
      <c r="H45" s="9" t="s">
        <v>41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 t="s">
        <v>8</v>
      </c>
      <c r="B46" s="4">
        <v>44492.0</v>
      </c>
      <c r="C46" s="3" t="s">
        <v>22</v>
      </c>
      <c r="D46" s="3" t="s">
        <v>58</v>
      </c>
      <c r="E46" s="5">
        <v>72.0</v>
      </c>
      <c r="F46" s="9"/>
      <c r="G46" s="9"/>
      <c r="H46" s="9" t="s">
        <v>41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 t="s">
        <v>8</v>
      </c>
      <c r="B47" s="4">
        <v>44492.0</v>
      </c>
      <c r="C47" s="3" t="s">
        <v>22</v>
      </c>
      <c r="D47" s="3" t="s">
        <v>59</v>
      </c>
      <c r="E47" s="5">
        <v>69.0</v>
      </c>
      <c r="F47" s="9"/>
      <c r="G47" s="9"/>
      <c r="H47" s="9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 t="s">
        <v>42</v>
      </c>
      <c r="B48" s="4">
        <v>44494.0</v>
      </c>
      <c r="C48" s="3" t="s">
        <v>15</v>
      </c>
      <c r="D48" s="3" t="s">
        <v>60</v>
      </c>
      <c r="E48" s="5">
        <v>1030.0</v>
      </c>
      <c r="F48" s="9"/>
      <c r="G48" s="9"/>
      <c r="H48" s="9" t="s">
        <v>41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 t="s">
        <v>61</v>
      </c>
      <c r="B49" s="4">
        <v>44494.0</v>
      </c>
      <c r="C49" s="3" t="s">
        <v>22</v>
      </c>
      <c r="D49" s="3" t="s">
        <v>62</v>
      </c>
      <c r="E49" s="5">
        <v>1812.6</v>
      </c>
      <c r="F49" s="9"/>
      <c r="G49" s="9"/>
      <c r="H49" s="9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 t="s">
        <v>42</v>
      </c>
      <c r="B50" s="4">
        <v>44495.0</v>
      </c>
      <c r="C50" s="3" t="s">
        <v>9</v>
      </c>
      <c r="D50" s="3" t="s">
        <v>63</v>
      </c>
      <c r="E50" s="5">
        <v>11200.0</v>
      </c>
      <c r="F50" s="9" t="s">
        <v>41</v>
      </c>
      <c r="G50" s="9" t="s">
        <v>40</v>
      </c>
      <c r="H50" s="9" t="s">
        <v>41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 t="s">
        <v>42</v>
      </c>
      <c r="B51" s="4">
        <v>44497.0</v>
      </c>
      <c r="C51" s="3" t="s">
        <v>15</v>
      </c>
      <c r="D51" s="3" t="s">
        <v>64</v>
      </c>
      <c r="E51" s="5">
        <v>2310.0</v>
      </c>
      <c r="F51" s="9"/>
      <c r="G51" s="9" t="s">
        <v>41</v>
      </c>
      <c r="H51" s="9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 t="s">
        <v>42</v>
      </c>
      <c r="B52" s="4">
        <v>44499.0</v>
      </c>
      <c r="C52" s="3" t="s">
        <v>9</v>
      </c>
      <c r="D52" s="3" t="s">
        <v>65</v>
      </c>
      <c r="E52" s="5">
        <v>2000.0</v>
      </c>
      <c r="F52" s="9" t="s">
        <v>40</v>
      </c>
      <c r="G52" s="9" t="s">
        <v>40</v>
      </c>
      <c r="H52" s="9" t="s">
        <v>41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 t="s">
        <v>42</v>
      </c>
      <c r="B53" s="4">
        <v>44501.0</v>
      </c>
      <c r="C53" s="3" t="s">
        <v>22</v>
      </c>
      <c r="D53" s="3" t="s">
        <v>66</v>
      </c>
      <c r="E53" s="5">
        <v>235.0</v>
      </c>
      <c r="F53" s="6"/>
      <c r="G53" s="6"/>
      <c r="H53" s="6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 t="s">
        <v>42</v>
      </c>
      <c r="B54" s="4">
        <v>44501.0</v>
      </c>
      <c r="C54" s="3" t="s">
        <v>22</v>
      </c>
      <c r="D54" s="3" t="s">
        <v>67</v>
      </c>
      <c r="E54" s="5">
        <v>100.0</v>
      </c>
      <c r="F54" s="6"/>
      <c r="G54" s="6"/>
      <c r="H54" s="6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 t="s">
        <v>61</v>
      </c>
      <c r="B55" s="4">
        <v>44504.0</v>
      </c>
      <c r="C55" s="3" t="s">
        <v>9</v>
      </c>
      <c r="D55" s="3" t="s">
        <v>68</v>
      </c>
      <c r="E55" s="5">
        <v>3811.0</v>
      </c>
      <c r="F55" s="6"/>
      <c r="G55" s="6"/>
      <c r="H55" s="6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 t="s">
        <v>61</v>
      </c>
      <c r="B56" s="4">
        <v>44505.0</v>
      </c>
      <c r="C56" s="3" t="s">
        <v>9</v>
      </c>
      <c r="D56" s="3" t="s">
        <v>69</v>
      </c>
      <c r="E56" s="5">
        <v>16743.82</v>
      </c>
      <c r="F56" s="6"/>
      <c r="G56" s="6"/>
      <c r="H56" s="6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 t="s">
        <v>42</v>
      </c>
      <c r="B57" s="4">
        <v>44505.0</v>
      </c>
      <c r="C57" s="3" t="s">
        <v>22</v>
      </c>
      <c r="D57" s="3" t="s">
        <v>70</v>
      </c>
      <c r="E57" s="5">
        <v>602.0</v>
      </c>
      <c r="F57" s="6"/>
      <c r="G57" s="6"/>
      <c r="H57" s="6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 t="s">
        <v>42</v>
      </c>
      <c r="B58" s="4">
        <v>44506.0</v>
      </c>
      <c r="C58" s="3" t="s">
        <v>9</v>
      </c>
      <c r="D58" s="3" t="s">
        <v>71</v>
      </c>
      <c r="E58" s="5">
        <v>5000.0</v>
      </c>
      <c r="F58" s="6"/>
      <c r="G58" s="6"/>
      <c r="H58" s="6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 t="s">
        <v>42</v>
      </c>
      <c r="B59" s="4">
        <v>44505.0</v>
      </c>
      <c r="C59" s="3" t="s">
        <v>9</v>
      </c>
      <c r="D59" s="3" t="s">
        <v>72</v>
      </c>
      <c r="E59" s="5">
        <v>636.0</v>
      </c>
      <c r="F59" s="6"/>
      <c r="G59" s="6"/>
      <c r="H59" s="6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 t="s">
        <v>25</v>
      </c>
      <c r="B60" s="4">
        <v>44506.0</v>
      </c>
      <c r="C60" s="3" t="s">
        <v>9</v>
      </c>
      <c r="D60" s="3" t="s">
        <v>73</v>
      </c>
      <c r="E60" s="5">
        <v>72.6</v>
      </c>
      <c r="F60" s="6"/>
      <c r="G60" s="6"/>
      <c r="H60" s="6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 t="s">
        <v>61</v>
      </c>
      <c r="B61" s="4">
        <v>44505.0</v>
      </c>
      <c r="C61" s="3" t="s">
        <v>22</v>
      </c>
      <c r="D61" s="3" t="s">
        <v>74</v>
      </c>
      <c r="E61" s="5">
        <v>132.0</v>
      </c>
      <c r="F61" s="6"/>
      <c r="G61" s="6"/>
      <c r="H61" s="6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 t="s">
        <v>42</v>
      </c>
      <c r="B62" s="4">
        <v>44506.0</v>
      </c>
      <c r="C62" s="3" t="s">
        <v>22</v>
      </c>
      <c r="D62" s="3" t="s">
        <v>75</v>
      </c>
      <c r="E62" s="5">
        <v>80.0</v>
      </c>
      <c r="F62" s="6"/>
      <c r="G62" s="6"/>
      <c r="H62" s="6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 t="s">
        <v>61</v>
      </c>
      <c r="B63" s="4">
        <v>44508.0</v>
      </c>
      <c r="C63" s="3" t="s">
        <v>22</v>
      </c>
      <c r="D63" s="3" t="s">
        <v>76</v>
      </c>
      <c r="E63" s="5">
        <v>180.0</v>
      </c>
      <c r="F63" s="6"/>
      <c r="G63" s="6"/>
      <c r="H63" s="6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 t="s">
        <v>61</v>
      </c>
      <c r="B64" s="4">
        <v>44508.0</v>
      </c>
      <c r="C64" s="3" t="s">
        <v>22</v>
      </c>
      <c r="D64" s="3" t="s">
        <v>77</v>
      </c>
      <c r="E64" s="5">
        <v>53.0</v>
      </c>
      <c r="F64" s="6"/>
      <c r="G64" s="6"/>
      <c r="H64" s="6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 t="s">
        <v>33</v>
      </c>
      <c r="B65" s="4">
        <v>44509.0</v>
      </c>
      <c r="C65" s="3" t="s">
        <v>22</v>
      </c>
      <c r="D65" s="3" t="s">
        <v>78</v>
      </c>
      <c r="E65" s="5">
        <v>226.3</v>
      </c>
      <c r="F65" s="6"/>
      <c r="G65" s="6"/>
      <c r="H65" s="6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 t="s">
        <v>61</v>
      </c>
      <c r="B66" s="4">
        <v>44509.0</v>
      </c>
      <c r="C66" s="3" t="s">
        <v>9</v>
      </c>
      <c r="D66" s="3" t="s">
        <v>79</v>
      </c>
      <c r="E66" s="5">
        <v>1375.0</v>
      </c>
      <c r="F66" s="6" t="s">
        <v>41</v>
      </c>
      <c r="G66" s="6"/>
      <c r="H66" s="6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 t="s">
        <v>80</v>
      </c>
      <c r="B67" s="4">
        <v>44509.0</v>
      </c>
      <c r="C67" s="3" t="s">
        <v>9</v>
      </c>
      <c r="D67" s="3" t="s">
        <v>81</v>
      </c>
      <c r="E67" s="5">
        <v>5265.02</v>
      </c>
      <c r="F67" s="6" t="s">
        <v>41</v>
      </c>
      <c r="G67" s="6"/>
      <c r="H67" s="6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 t="s">
        <v>27</v>
      </c>
      <c r="B68" s="4">
        <v>44510.0</v>
      </c>
      <c r="C68" s="3" t="s">
        <v>22</v>
      </c>
      <c r="D68" s="3" t="s">
        <v>37</v>
      </c>
      <c r="E68" s="5">
        <v>248.09</v>
      </c>
      <c r="F68" s="6"/>
      <c r="G68" s="6"/>
      <c r="H68" s="6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 t="s">
        <v>42</v>
      </c>
      <c r="B69" s="4">
        <v>44511.0</v>
      </c>
      <c r="C69" s="3" t="s">
        <v>9</v>
      </c>
      <c r="D69" s="3" t="s">
        <v>82</v>
      </c>
      <c r="E69" s="5">
        <v>5220.0</v>
      </c>
      <c r="F69" s="6" t="s">
        <v>41</v>
      </c>
      <c r="G69" s="6"/>
      <c r="H69" s="6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 t="s">
        <v>25</v>
      </c>
      <c r="B70" s="4">
        <v>44511.0</v>
      </c>
      <c r="C70" s="3" t="s">
        <v>9</v>
      </c>
      <c r="D70" s="3" t="s">
        <v>83</v>
      </c>
      <c r="E70" s="5">
        <v>1235.0</v>
      </c>
      <c r="F70" s="6"/>
      <c r="G70" s="6"/>
      <c r="H70" s="6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 t="s">
        <v>42</v>
      </c>
      <c r="B71" s="4">
        <v>44512.0</v>
      </c>
      <c r="C71" s="3" t="s">
        <v>22</v>
      </c>
      <c r="D71" s="3" t="s">
        <v>84</v>
      </c>
      <c r="E71" s="5">
        <v>150.0</v>
      </c>
      <c r="F71" s="6"/>
      <c r="G71" s="6"/>
      <c r="H71" s="6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 t="s">
        <v>27</v>
      </c>
      <c r="B72" s="4">
        <v>44515.0</v>
      </c>
      <c r="C72" s="3" t="s">
        <v>9</v>
      </c>
      <c r="D72" s="3" t="s">
        <v>85</v>
      </c>
      <c r="E72" s="5">
        <v>67.7</v>
      </c>
      <c r="F72" s="6"/>
      <c r="G72" s="6"/>
      <c r="H72" s="6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 t="s">
        <v>25</v>
      </c>
      <c r="B73" s="4">
        <v>44517.0</v>
      </c>
      <c r="C73" s="3" t="s">
        <v>22</v>
      </c>
      <c r="D73" s="3" t="s">
        <v>86</v>
      </c>
      <c r="E73" s="5">
        <v>16.0</v>
      </c>
      <c r="F73" s="6"/>
      <c r="G73" s="6"/>
      <c r="H73" s="6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 t="s">
        <v>61</v>
      </c>
      <c r="B74" s="4">
        <v>44519.0</v>
      </c>
      <c r="C74" s="3" t="s">
        <v>9</v>
      </c>
      <c r="D74" s="3" t="s">
        <v>87</v>
      </c>
      <c r="E74" s="5">
        <v>449.3</v>
      </c>
      <c r="F74" s="6"/>
      <c r="G74" s="6"/>
      <c r="H74" s="6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 t="s">
        <v>61</v>
      </c>
      <c r="B75" s="4">
        <v>44519.0</v>
      </c>
      <c r="C75" s="3" t="s">
        <v>9</v>
      </c>
      <c r="D75" s="3" t="s">
        <v>88</v>
      </c>
      <c r="E75" s="5">
        <v>1000.0</v>
      </c>
      <c r="F75" s="6"/>
      <c r="G75" s="6"/>
      <c r="H75" s="6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 t="s">
        <v>61</v>
      </c>
      <c r="B76" s="4">
        <v>44520.0</v>
      </c>
      <c r="C76" s="3" t="s">
        <v>9</v>
      </c>
      <c r="D76" s="3" t="s">
        <v>88</v>
      </c>
      <c r="E76" s="5">
        <v>3000.0</v>
      </c>
      <c r="F76" s="6"/>
      <c r="G76" s="6"/>
      <c r="H76" s="6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 t="s">
        <v>8</v>
      </c>
      <c r="B77" s="4">
        <v>44522.0</v>
      </c>
      <c r="C77" s="3" t="s">
        <v>9</v>
      </c>
      <c r="D77" s="3" t="s">
        <v>89</v>
      </c>
      <c r="E77" s="5">
        <v>112.0</v>
      </c>
      <c r="F77" s="6" t="s">
        <v>40</v>
      </c>
      <c r="G77" s="6" t="s">
        <v>41</v>
      </c>
      <c r="H77" s="6" t="s">
        <v>90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 t="s">
        <v>61</v>
      </c>
      <c r="B78" s="4">
        <v>44524.0</v>
      </c>
      <c r="C78" s="3" t="s">
        <v>9</v>
      </c>
      <c r="D78" s="3" t="s">
        <v>91</v>
      </c>
      <c r="E78" s="5">
        <v>1010.0</v>
      </c>
      <c r="F78" s="6"/>
      <c r="G78" s="6"/>
      <c r="H78" s="6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 t="s">
        <v>61</v>
      </c>
      <c r="B79" s="4">
        <v>44526.0</v>
      </c>
      <c r="C79" s="3" t="s">
        <v>22</v>
      </c>
      <c r="D79" s="3" t="s">
        <v>92</v>
      </c>
      <c r="E79" s="5">
        <v>200.0</v>
      </c>
      <c r="F79" s="6"/>
      <c r="G79" s="6"/>
      <c r="H79" s="6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 t="s">
        <v>61</v>
      </c>
      <c r="B80" s="4">
        <v>44526.0</v>
      </c>
      <c r="C80" s="3" t="s">
        <v>9</v>
      </c>
      <c r="D80" s="3" t="s">
        <v>88</v>
      </c>
      <c r="E80" s="5">
        <v>7000.0</v>
      </c>
      <c r="F80" s="6"/>
      <c r="G80" s="6"/>
      <c r="H80" s="6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 t="s">
        <v>80</v>
      </c>
      <c r="B81" s="4">
        <v>44526.0</v>
      </c>
      <c r="C81" s="3" t="s">
        <v>22</v>
      </c>
      <c r="D81" s="3" t="s">
        <v>93</v>
      </c>
      <c r="E81" s="5">
        <v>176.82</v>
      </c>
      <c r="F81" s="6"/>
      <c r="G81" s="6"/>
      <c r="H81" s="6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 t="s">
        <v>33</v>
      </c>
      <c r="B82" s="4">
        <v>44527.0</v>
      </c>
      <c r="C82" s="3" t="s">
        <v>9</v>
      </c>
      <c r="D82" s="3" t="s">
        <v>94</v>
      </c>
      <c r="E82" s="5">
        <v>250.0</v>
      </c>
      <c r="F82" s="6"/>
      <c r="G82" s="6"/>
      <c r="H82" s="6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 t="s">
        <v>95</v>
      </c>
      <c r="B83" s="4">
        <v>44527.0</v>
      </c>
      <c r="C83" s="3" t="s">
        <v>9</v>
      </c>
      <c r="D83" s="3" t="s">
        <v>96</v>
      </c>
      <c r="E83" s="5">
        <v>500.0</v>
      </c>
      <c r="F83" s="6"/>
      <c r="G83" s="6"/>
      <c r="H83" s="6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 t="s">
        <v>80</v>
      </c>
      <c r="B84" s="4">
        <v>44529.0</v>
      </c>
      <c r="C84" s="3" t="s">
        <v>22</v>
      </c>
      <c r="D84" s="3" t="s">
        <v>97</v>
      </c>
      <c r="E84" s="5">
        <v>597.68</v>
      </c>
      <c r="F84" s="6"/>
      <c r="G84" s="6"/>
      <c r="H84" s="6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 t="s">
        <v>33</v>
      </c>
      <c r="B85" s="4">
        <v>44529.0</v>
      </c>
      <c r="C85" s="3" t="s">
        <v>9</v>
      </c>
      <c r="D85" s="3" t="s">
        <v>98</v>
      </c>
      <c r="E85" s="5">
        <v>192.4</v>
      </c>
      <c r="F85" s="6" t="s">
        <v>41</v>
      </c>
      <c r="G85" s="6" t="s">
        <v>40</v>
      </c>
      <c r="H85" s="6" t="s">
        <v>90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 t="s">
        <v>33</v>
      </c>
      <c r="B86" s="4">
        <v>44530.0</v>
      </c>
      <c r="C86" s="3" t="s">
        <v>9</v>
      </c>
      <c r="D86" s="3" t="s">
        <v>99</v>
      </c>
      <c r="E86" s="5">
        <v>38.94</v>
      </c>
      <c r="F86" s="6" t="s">
        <v>40</v>
      </c>
      <c r="G86" s="6" t="s">
        <v>41</v>
      </c>
      <c r="H86" s="6" t="s">
        <v>41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 t="s">
        <v>33</v>
      </c>
      <c r="B87" s="4">
        <v>44531.0</v>
      </c>
      <c r="C87" s="3" t="s">
        <v>22</v>
      </c>
      <c r="D87" s="3" t="s">
        <v>100</v>
      </c>
      <c r="E87" s="5">
        <v>350.0</v>
      </c>
      <c r="F87" s="10" t="s">
        <v>41</v>
      </c>
      <c r="G87" s="10" t="s">
        <v>40</v>
      </c>
      <c r="H87" s="10" t="s">
        <v>41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 t="s">
        <v>61</v>
      </c>
      <c r="B88" s="4">
        <v>44531.0</v>
      </c>
      <c r="C88" s="3" t="s">
        <v>22</v>
      </c>
      <c r="D88" s="3" t="s">
        <v>101</v>
      </c>
      <c r="E88" s="5">
        <v>1470.5</v>
      </c>
      <c r="F88" s="10" t="s">
        <v>41</v>
      </c>
      <c r="G88" s="10" t="s">
        <v>90</v>
      </c>
      <c r="H88" s="10" t="s">
        <v>90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 t="s">
        <v>61</v>
      </c>
      <c r="B89" s="4">
        <v>44532.0</v>
      </c>
      <c r="C89" s="3" t="s">
        <v>22</v>
      </c>
      <c r="D89" s="3" t="s">
        <v>102</v>
      </c>
      <c r="E89" s="5">
        <v>475.0</v>
      </c>
      <c r="F89" s="10" t="s">
        <v>40</v>
      </c>
      <c r="G89" s="10" t="s">
        <v>90</v>
      </c>
      <c r="H89" s="10" t="s">
        <v>90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 t="s">
        <v>103</v>
      </c>
      <c r="B90" s="4">
        <v>44533.0</v>
      </c>
      <c r="C90" s="3" t="s">
        <v>9</v>
      </c>
      <c r="D90" s="3" t="s">
        <v>104</v>
      </c>
      <c r="E90" s="5">
        <v>6465.05</v>
      </c>
      <c r="F90" s="10" t="s">
        <v>90</v>
      </c>
      <c r="G90" s="10" t="s">
        <v>41</v>
      </c>
      <c r="H90" s="10" t="s">
        <v>41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 t="s">
        <v>103</v>
      </c>
      <c r="B91" s="4">
        <v>44533.0</v>
      </c>
      <c r="C91" s="3" t="s">
        <v>9</v>
      </c>
      <c r="D91" s="3" t="s">
        <v>105</v>
      </c>
      <c r="E91" s="5">
        <v>5734.95</v>
      </c>
      <c r="F91" s="10" t="s">
        <v>90</v>
      </c>
      <c r="G91" s="10" t="s">
        <v>90</v>
      </c>
      <c r="H91" s="10" t="s">
        <v>41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 t="s">
        <v>61</v>
      </c>
      <c r="B92" s="4">
        <v>44536.0</v>
      </c>
      <c r="C92" s="3" t="s">
        <v>22</v>
      </c>
      <c r="D92" s="3" t="s">
        <v>106</v>
      </c>
      <c r="E92" s="5">
        <v>78.75</v>
      </c>
      <c r="F92" s="10" t="s">
        <v>40</v>
      </c>
      <c r="G92" s="10" t="s">
        <v>90</v>
      </c>
      <c r="H92" s="10" t="s">
        <v>41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 t="s">
        <v>61</v>
      </c>
      <c r="B93" s="4">
        <v>44537.0</v>
      </c>
      <c r="C93" s="3" t="s">
        <v>22</v>
      </c>
      <c r="D93" s="3" t="s">
        <v>102</v>
      </c>
      <c r="E93" s="5">
        <v>475.0</v>
      </c>
      <c r="F93" s="10" t="s">
        <v>40</v>
      </c>
      <c r="G93" s="10" t="s">
        <v>41</v>
      </c>
      <c r="H93" s="10" t="s">
        <v>41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 t="s">
        <v>61</v>
      </c>
      <c r="B94" s="4">
        <v>44538.0</v>
      </c>
      <c r="C94" s="3" t="s">
        <v>22</v>
      </c>
      <c r="D94" s="3" t="s">
        <v>107</v>
      </c>
      <c r="E94" s="5">
        <v>152.0</v>
      </c>
      <c r="F94" s="10" t="s">
        <v>41</v>
      </c>
      <c r="G94" s="10" t="s">
        <v>40</v>
      </c>
      <c r="H94" s="10" t="s">
        <v>41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 t="s">
        <v>27</v>
      </c>
      <c r="B95" s="4">
        <v>44539.0</v>
      </c>
      <c r="C95" s="3" t="s">
        <v>22</v>
      </c>
      <c r="D95" s="3" t="s">
        <v>108</v>
      </c>
      <c r="E95" s="5">
        <v>248.09</v>
      </c>
      <c r="F95" s="10" t="s">
        <v>40</v>
      </c>
      <c r="G95" s="10" t="s">
        <v>40</v>
      </c>
      <c r="H95" s="10" t="s">
        <v>41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 t="s">
        <v>61</v>
      </c>
      <c r="B96" s="4">
        <v>44539.0</v>
      </c>
      <c r="C96" s="3" t="s">
        <v>9</v>
      </c>
      <c r="D96" s="3" t="s">
        <v>65</v>
      </c>
      <c r="E96" s="5">
        <v>7000.0</v>
      </c>
      <c r="F96" s="10" t="s">
        <v>40</v>
      </c>
      <c r="G96" s="10" t="s">
        <v>40</v>
      </c>
      <c r="H96" s="10" t="s">
        <v>41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 t="s">
        <v>80</v>
      </c>
      <c r="B97" s="4">
        <v>44541.0</v>
      </c>
      <c r="C97" s="3" t="s">
        <v>9</v>
      </c>
      <c r="D97" s="3" t="s">
        <v>109</v>
      </c>
      <c r="E97" s="5">
        <v>415.43</v>
      </c>
      <c r="F97" s="10" t="s">
        <v>40</v>
      </c>
      <c r="G97" s="10" t="s">
        <v>41</v>
      </c>
      <c r="H97" s="10" t="s">
        <v>41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 t="s">
        <v>80</v>
      </c>
      <c r="B98" s="4">
        <v>44541.0</v>
      </c>
      <c r="C98" s="3" t="s">
        <v>9</v>
      </c>
      <c r="D98" s="3" t="s">
        <v>110</v>
      </c>
      <c r="E98" s="5">
        <v>65.7</v>
      </c>
      <c r="F98" s="10" t="s">
        <v>40</v>
      </c>
      <c r="G98" s="10" t="s">
        <v>41</v>
      </c>
      <c r="H98" s="10" t="s">
        <v>41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 t="s">
        <v>80</v>
      </c>
      <c r="B99" s="4">
        <v>44543.0</v>
      </c>
      <c r="C99" s="3" t="s">
        <v>9</v>
      </c>
      <c r="D99" s="3" t="s">
        <v>111</v>
      </c>
      <c r="E99" s="5">
        <v>517.0</v>
      </c>
      <c r="F99" s="10" t="s">
        <v>40</v>
      </c>
      <c r="G99" s="10" t="s">
        <v>40</v>
      </c>
      <c r="H99" s="10" t="s">
        <v>41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 t="s">
        <v>61</v>
      </c>
      <c r="B100" s="4">
        <v>44543.0</v>
      </c>
      <c r="C100" s="3" t="s">
        <v>22</v>
      </c>
      <c r="D100" s="3" t="s">
        <v>112</v>
      </c>
      <c r="E100" s="5">
        <v>1518.5</v>
      </c>
      <c r="F100" s="10" t="s">
        <v>40</v>
      </c>
      <c r="G100" s="10" t="s">
        <v>90</v>
      </c>
      <c r="H100" s="10" t="s">
        <v>90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 t="s">
        <v>27</v>
      </c>
      <c r="B101" s="4">
        <v>44545.0</v>
      </c>
      <c r="C101" s="3" t="s">
        <v>9</v>
      </c>
      <c r="D101" s="3" t="s">
        <v>113</v>
      </c>
      <c r="E101" s="5">
        <v>95.78</v>
      </c>
      <c r="F101" s="10" t="s">
        <v>90</v>
      </c>
      <c r="G101" s="10" t="s">
        <v>40</v>
      </c>
      <c r="H101" s="10" t="s">
        <v>90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 t="s">
        <v>103</v>
      </c>
      <c r="B102" s="4">
        <v>44545.0</v>
      </c>
      <c r="C102" s="3" t="s">
        <v>9</v>
      </c>
      <c r="D102" s="3" t="s">
        <v>114</v>
      </c>
      <c r="E102" s="5">
        <v>5152.0</v>
      </c>
      <c r="F102" s="10" t="s">
        <v>40</v>
      </c>
      <c r="G102" s="10" t="s">
        <v>90</v>
      </c>
      <c r="H102" s="10" t="s">
        <v>41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 t="s">
        <v>61</v>
      </c>
      <c r="B103" s="4">
        <v>44545.0</v>
      </c>
      <c r="C103" s="3" t="s">
        <v>22</v>
      </c>
      <c r="D103" s="3" t="s">
        <v>115</v>
      </c>
      <c r="E103" s="5">
        <v>555.0</v>
      </c>
      <c r="F103" s="10" t="s">
        <v>40</v>
      </c>
      <c r="G103" s="10" t="s">
        <v>41</v>
      </c>
      <c r="H103" s="10" t="s">
        <v>41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 t="s">
        <v>61</v>
      </c>
      <c r="B104" s="4">
        <v>44546.0</v>
      </c>
      <c r="C104" s="3" t="s">
        <v>9</v>
      </c>
      <c r="D104" s="3" t="s">
        <v>65</v>
      </c>
      <c r="E104" s="5">
        <v>5000.0</v>
      </c>
      <c r="F104" s="10" t="s">
        <v>40</v>
      </c>
      <c r="G104" s="10" t="s">
        <v>40</v>
      </c>
      <c r="H104" s="10" t="s">
        <v>41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 t="s">
        <v>61</v>
      </c>
      <c r="B105" s="4">
        <v>44547.0</v>
      </c>
      <c r="C105" s="3" t="s">
        <v>22</v>
      </c>
      <c r="D105" s="3" t="s">
        <v>116</v>
      </c>
      <c r="E105" s="5">
        <v>475.0</v>
      </c>
      <c r="F105" s="10" t="s">
        <v>40</v>
      </c>
      <c r="G105" s="10" t="s">
        <v>41</v>
      </c>
      <c r="H105" s="10" t="s">
        <v>41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 t="s">
        <v>33</v>
      </c>
      <c r="B106" s="4">
        <v>44548.0</v>
      </c>
      <c r="C106" s="3" t="s">
        <v>22</v>
      </c>
      <c r="D106" s="3" t="s">
        <v>117</v>
      </c>
      <c r="E106" s="5">
        <v>142.1</v>
      </c>
      <c r="F106" s="10" t="s">
        <v>40</v>
      </c>
      <c r="G106" s="10" t="s">
        <v>41</v>
      </c>
      <c r="H106" s="10" t="s">
        <v>41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 t="s">
        <v>27</v>
      </c>
      <c r="B107" s="4">
        <v>44551.0</v>
      </c>
      <c r="C107" s="3" t="s">
        <v>9</v>
      </c>
      <c r="D107" s="3" t="s">
        <v>118</v>
      </c>
      <c r="E107" s="5">
        <v>54.26</v>
      </c>
      <c r="F107" s="10" t="s">
        <v>41</v>
      </c>
      <c r="G107" s="10" t="s">
        <v>40</v>
      </c>
      <c r="H107" s="10" t="s">
        <v>41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 t="s">
        <v>27</v>
      </c>
      <c r="B108" s="4">
        <v>44551.0</v>
      </c>
      <c r="C108" s="3" t="s">
        <v>9</v>
      </c>
      <c r="D108" s="3" t="s">
        <v>119</v>
      </c>
      <c r="E108" s="5">
        <v>95.78</v>
      </c>
      <c r="F108" s="10" t="s">
        <v>41</v>
      </c>
      <c r="G108" s="10" t="s">
        <v>40</v>
      </c>
      <c r="H108" s="10" t="s">
        <v>41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 t="s">
        <v>61</v>
      </c>
      <c r="B109" s="4">
        <v>44552.0</v>
      </c>
      <c r="C109" s="3" t="s">
        <v>15</v>
      </c>
      <c r="D109" s="3" t="s">
        <v>65</v>
      </c>
      <c r="E109" s="5">
        <v>5000.0</v>
      </c>
      <c r="F109" s="10" t="s">
        <v>40</v>
      </c>
      <c r="G109" s="10" t="s">
        <v>40</v>
      </c>
      <c r="H109" s="10" t="s">
        <v>41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 t="s">
        <v>33</v>
      </c>
      <c r="B110" s="4">
        <v>44552.0</v>
      </c>
      <c r="C110" s="3" t="s">
        <v>22</v>
      </c>
      <c r="D110" s="3" t="s">
        <v>120</v>
      </c>
      <c r="E110" s="5">
        <v>43.2</v>
      </c>
      <c r="F110" s="10" t="s">
        <v>40</v>
      </c>
      <c r="G110" s="10" t="s">
        <v>41</v>
      </c>
      <c r="H110" s="10" t="s">
        <v>41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 t="s">
        <v>61</v>
      </c>
      <c r="B111" s="4">
        <v>44557.0</v>
      </c>
      <c r="C111" s="3" t="s">
        <v>22</v>
      </c>
      <c r="D111" s="3" t="s">
        <v>121</v>
      </c>
      <c r="E111" s="5">
        <v>192.0</v>
      </c>
      <c r="F111" s="10" t="s">
        <v>40</v>
      </c>
      <c r="G111" s="10" t="s">
        <v>40</v>
      </c>
      <c r="H111" s="10" t="s">
        <v>41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 t="s">
        <v>33</v>
      </c>
      <c r="B112" s="4">
        <v>44557.0</v>
      </c>
      <c r="C112" s="3" t="s">
        <v>9</v>
      </c>
      <c r="D112" s="3" t="s">
        <v>122</v>
      </c>
      <c r="E112" s="5">
        <v>205.9</v>
      </c>
      <c r="F112" s="10" t="s">
        <v>41</v>
      </c>
      <c r="G112" s="10" t="s">
        <v>41</v>
      </c>
      <c r="H112" s="10" t="s">
        <v>90</v>
      </c>
      <c r="I112" s="3" t="s">
        <v>123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 t="s">
        <v>61</v>
      </c>
      <c r="B113" s="4">
        <v>44557.0</v>
      </c>
      <c r="C113" s="3" t="s">
        <v>22</v>
      </c>
      <c r="D113" s="3" t="s">
        <v>124</v>
      </c>
      <c r="E113" s="5">
        <v>200.0</v>
      </c>
      <c r="F113" s="10" t="s">
        <v>40</v>
      </c>
      <c r="G113" s="10" t="s">
        <v>40</v>
      </c>
      <c r="H113" s="10" t="s">
        <v>41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 t="s">
        <v>33</v>
      </c>
      <c r="B114" s="4">
        <v>44558.0</v>
      </c>
      <c r="C114" s="3" t="s">
        <v>9</v>
      </c>
      <c r="D114" s="3" t="s">
        <v>125</v>
      </c>
      <c r="E114" s="5">
        <v>894.43</v>
      </c>
      <c r="F114" s="10" t="s">
        <v>40</v>
      </c>
      <c r="G114" s="10" t="s">
        <v>41</v>
      </c>
      <c r="H114" s="10" t="s">
        <v>41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 t="s">
        <v>33</v>
      </c>
      <c r="B115" s="4">
        <v>44560.0</v>
      </c>
      <c r="C115" s="3" t="s">
        <v>22</v>
      </c>
      <c r="D115" s="3" t="s">
        <v>126</v>
      </c>
      <c r="E115" s="5">
        <v>68.98</v>
      </c>
      <c r="F115" s="10" t="s">
        <v>40</v>
      </c>
      <c r="G115" s="10" t="s">
        <v>41</v>
      </c>
      <c r="H115" s="10" t="s">
        <v>40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 t="s">
        <v>103</v>
      </c>
      <c r="B116" s="4">
        <v>44564.0</v>
      </c>
      <c r="C116" s="3" t="s">
        <v>22</v>
      </c>
      <c r="D116" s="3" t="s">
        <v>127</v>
      </c>
      <c r="E116" s="5">
        <v>263.0</v>
      </c>
      <c r="F116" s="10" t="s">
        <v>41</v>
      </c>
      <c r="G116" s="10" t="s">
        <v>90</v>
      </c>
      <c r="H116" s="10" t="s">
        <v>41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 t="s">
        <v>103</v>
      </c>
      <c r="B117" s="4">
        <v>44564.0</v>
      </c>
      <c r="C117" s="3" t="s">
        <v>22</v>
      </c>
      <c r="D117" s="3" t="s">
        <v>128</v>
      </c>
      <c r="E117" s="5">
        <v>1136.0</v>
      </c>
      <c r="F117" s="10" t="s">
        <v>40</v>
      </c>
      <c r="G117" s="10" t="s">
        <v>40</v>
      </c>
      <c r="H117" s="10" t="s">
        <v>41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 t="s">
        <v>33</v>
      </c>
      <c r="B118" s="4">
        <v>44565.0</v>
      </c>
      <c r="C118" s="3" t="s">
        <v>22</v>
      </c>
      <c r="D118" s="3" t="s">
        <v>129</v>
      </c>
      <c r="E118" s="5">
        <v>149.38</v>
      </c>
      <c r="F118" s="10" t="s">
        <v>40</v>
      </c>
      <c r="G118" s="10" t="s">
        <v>41</v>
      </c>
      <c r="H118" s="10" t="s">
        <v>41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 t="s">
        <v>33</v>
      </c>
      <c r="B119" s="4">
        <v>44565.0</v>
      </c>
      <c r="C119" s="3" t="s">
        <v>22</v>
      </c>
      <c r="D119" s="3" t="s">
        <v>130</v>
      </c>
      <c r="E119" s="5">
        <v>75.9</v>
      </c>
      <c r="F119" s="10" t="s">
        <v>40</v>
      </c>
      <c r="G119" s="10" t="s">
        <v>41</v>
      </c>
      <c r="H119" s="10" t="s">
        <v>41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 t="s">
        <v>103</v>
      </c>
      <c r="B120" s="4">
        <v>44567.0</v>
      </c>
      <c r="C120" s="3" t="s">
        <v>9</v>
      </c>
      <c r="D120" s="3" t="s">
        <v>131</v>
      </c>
      <c r="E120" s="5">
        <v>900.0</v>
      </c>
      <c r="F120" s="10" t="s">
        <v>40</v>
      </c>
      <c r="G120" s="10" t="s">
        <v>40</v>
      </c>
      <c r="H120" s="10" t="s">
        <v>41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 t="s">
        <v>80</v>
      </c>
      <c r="B121" s="4">
        <v>44568.0</v>
      </c>
      <c r="C121" s="3" t="s">
        <v>22</v>
      </c>
      <c r="D121" s="3" t="s">
        <v>132</v>
      </c>
      <c r="E121" s="5">
        <v>48.0</v>
      </c>
      <c r="F121" s="10" t="s">
        <v>41</v>
      </c>
      <c r="G121" s="10" t="s">
        <v>40</v>
      </c>
      <c r="H121" s="10" t="s">
        <v>41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 t="s">
        <v>103</v>
      </c>
      <c r="B122" s="4">
        <v>44568.0</v>
      </c>
      <c r="C122" s="3" t="s">
        <v>22</v>
      </c>
      <c r="D122" s="3" t="s">
        <v>133</v>
      </c>
      <c r="E122" s="5">
        <v>73.02</v>
      </c>
      <c r="F122" s="10" t="s">
        <v>41</v>
      </c>
      <c r="G122" s="10" t="s">
        <v>40</v>
      </c>
      <c r="H122" s="10" t="s">
        <v>41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 t="s">
        <v>61</v>
      </c>
      <c r="B123" s="4">
        <v>44568.0</v>
      </c>
      <c r="C123" s="3" t="s">
        <v>15</v>
      </c>
      <c r="D123" s="3" t="s">
        <v>65</v>
      </c>
      <c r="E123" s="5">
        <v>5000.0</v>
      </c>
      <c r="F123" s="10" t="s">
        <v>40</v>
      </c>
      <c r="G123" s="10" t="s">
        <v>40</v>
      </c>
      <c r="H123" s="10" t="s">
        <v>41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 t="s">
        <v>8</v>
      </c>
      <c r="B124" s="4">
        <v>44569.0</v>
      </c>
      <c r="C124" s="3" t="s">
        <v>9</v>
      </c>
      <c r="D124" s="3" t="s">
        <v>59</v>
      </c>
      <c r="E124" s="5">
        <v>64.0</v>
      </c>
      <c r="F124" s="10" t="s">
        <v>40</v>
      </c>
      <c r="G124" s="10" t="s">
        <v>40</v>
      </c>
      <c r="H124" s="10" t="s">
        <v>41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 t="s">
        <v>61</v>
      </c>
      <c r="B125" s="4">
        <v>44570.0</v>
      </c>
      <c r="C125" s="3" t="s">
        <v>22</v>
      </c>
      <c r="D125" s="3" t="s">
        <v>134</v>
      </c>
      <c r="E125" s="5">
        <v>248.0</v>
      </c>
      <c r="F125" s="10" t="s">
        <v>40</v>
      </c>
      <c r="G125" s="10" t="s">
        <v>40</v>
      </c>
      <c r="H125" s="10" t="s">
        <v>41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 t="s">
        <v>27</v>
      </c>
      <c r="B126" s="4">
        <v>44571.0</v>
      </c>
      <c r="C126" s="3" t="s">
        <v>22</v>
      </c>
      <c r="D126" s="3" t="s">
        <v>108</v>
      </c>
      <c r="E126" s="5">
        <v>184.8</v>
      </c>
      <c r="F126" s="10" t="s">
        <v>40</v>
      </c>
      <c r="G126" s="10" t="s">
        <v>40</v>
      </c>
      <c r="H126" s="10" t="s">
        <v>41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 t="s">
        <v>33</v>
      </c>
      <c r="B127" s="4">
        <v>44572.0</v>
      </c>
      <c r="C127" s="3" t="s">
        <v>22</v>
      </c>
      <c r="D127" s="3" t="s">
        <v>135</v>
      </c>
      <c r="E127" s="5">
        <v>149.38</v>
      </c>
      <c r="F127" s="10" t="s">
        <v>41</v>
      </c>
      <c r="G127" s="10" t="s">
        <v>41</v>
      </c>
      <c r="H127" s="10" t="s">
        <v>90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 t="s">
        <v>61</v>
      </c>
      <c r="B128" s="4">
        <v>44573.0</v>
      </c>
      <c r="C128" s="3" t="s">
        <v>22</v>
      </c>
      <c r="D128" s="3" t="s">
        <v>136</v>
      </c>
      <c r="E128" s="5">
        <v>900.0</v>
      </c>
      <c r="F128" s="10" t="s">
        <v>41</v>
      </c>
      <c r="G128" s="10" t="s">
        <v>40</v>
      </c>
      <c r="H128" s="10" t="s">
        <v>41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 t="s">
        <v>33</v>
      </c>
      <c r="B129" s="4">
        <v>44573.0</v>
      </c>
      <c r="C129" s="3" t="s">
        <v>9</v>
      </c>
      <c r="D129" s="3" t="s">
        <v>137</v>
      </c>
      <c r="E129" s="5">
        <v>56.8</v>
      </c>
      <c r="F129" s="10" t="s">
        <v>41</v>
      </c>
      <c r="G129" s="10" t="s">
        <v>41</v>
      </c>
      <c r="H129" s="10" t="s">
        <v>41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 t="s">
        <v>103</v>
      </c>
      <c r="B130" s="4">
        <v>44575.0</v>
      </c>
      <c r="C130" s="3" t="s">
        <v>9</v>
      </c>
      <c r="D130" s="3" t="s">
        <v>138</v>
      </c>
      <c r="E130" s="5">
        <v>5390.0</v>
      </c>
      <c r="F130" s="10" t="s">
        <v>41</v>
      </c>
      <c r="G130" s="10" t="s">
        <v>139</v>
      </c>
      <c r="H130" s="10" t="s">
        <v>41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 t="s">
        <v>61</v>
      </c>
      <c r="B131" s="4">
        <v>44575.0</v>
      </c>
      <c r="C131" s="3" t="s">
        <v>9</v>
      </c>
      <c r="D131" s="3" t="s">
        <v>65</v>
      </c>
      <c r="E131" s="5">
        <v>5000.0</v>
      </c>
      <c r="F131" s="10" t="s">
        <v>40</v>
      </c>
      <c r="G131" s="10" t="s">
        <v>40</v>
      </c>
      <c r="H131" s="10" t="s">
        <v>41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 t="s">
        <v>103</v>
      </c>
      <c r="B132" s="4">
        <v>44575.0</v>
      </c>
      <c r="C132" s="3" t="s">
        <v>22</v>
      </c>
      <c r="D132" s="3" t="s">
        <v>140</v>
      </c>
      <c r="E132" s="5">
        <v>222.0</v>
      </c>
      <c r="F132" s="10" t="s">
        <v>41</v>
      </c>
      <c r="G132" s="10" t="s">
        <v>40</v>
      </c>
      <c r="H132" s="10" t="s">
        <v>41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 t="s">
        <v>141</v>
      </c>
      <c r="B133" s="4">
        <v>44579.0</v>
      </c>
      <c r="C133" s="3" t="s">
        <v>9</v>
      </c>
      <c r="D133" s="3" t="s">
        <v>142</v>
      </c>
      <c r="E133" s="5">
        <v>20625.7</v>
      </c>
      <c r="F133" s="10" t="s">
        <v>41</v>
      </c>
      <c r="G133" s="10" t="s">
        <v>41</v>
      </c>
      <c r="H133" s="10" t="s">
        <v>41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 t="s">
        <v>141</v>
      </c>
      <c r="B134" s="4">
        <v>44579.0</v>
      </c>
      <c r="C134" s="3" t="s">
        <v>22</v>
      </c>
      <c r="D134" s="3" t="s">
        <v>143</v>
      </c>
      <c r="E134" s="5">
        <v>150.0</v>
      </c>
      <c r="F134" s="10" t="s">
        <v>40</v>
      </c>
      <c r="G134" s="10" t="s">
        <v>40</v>
      </c>
      <c r="H134" s="10" t="s">
        <v>41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 t="s">
        <v>61</v>
      </c>
      <c r="B135" s="4">
        <v>44581.0</v>
      </c>
      <c r="C135" s="3" t="s">
        <v>22</v>
      </c>
      <c r="D135" s="3" t="s">
        <v>116</v>
      </c>
      <c r="E135" s="5">
        <v>475.0</v>
      </c>
      <c r="F135" s="10" t="s">
        <v>40</v>
      </c>
      <c r="G135" s="10" t="s">
        <v>90</v>
      </c>
      <c r="H135" s="10" t="s">
        <v>41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 t="s">
        <v>61</v>
      </c>
      <c r="B136" s="4">
        <v>44581.0</v>
      </c>
      <c r="C136" s="3" t="s">
        <v>22</v>
      </c>
      <c r="D136" s="3" t="s">
        <v>144</v>
      </c>
      <c r="E136" s="5">
        <v>1470.5</v>
      </c>
      <c r="F136" s="10" t="s">
        <v>41</v>
      </c>
      <c r="G136" s="10" t="s">
        <v>90</v>
      </c>
      <c r="H136" s="10" t="s">
        <v>90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 t="s">
        <v>103</v>
      </c>
      <c r="B137" s="4">
        <v>44585.0</v>
      </c>
      <c r="C137" s="3" t="s">
        <v>22</v>
      </c>
      <c r="D137" s="3" t="s">
        <v>145</v>
      </c>
      <c r="E137" s="5">
        <v>2375.0</v>
      </c>
      <c r="F137" s="10" t="s">
        <v>41</v>
      </c>
      <c r="G137" s="10" t="s">
        <v>90</v>
      </c>
      <c r="H137" s="10" t="s">
        <v>41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 t="s">
        <v>61</v>
      </c>
      <c r="B138" s="4">
        <v>44587.0</v>
      </c>
      <c r="C138" s="3" t="s">
        <v>22</v>
      </c>
      <c r="D138" s="3" t="s">
        <v>146</v>
      </c>
      <c r="E138" s="5">
        <v>200.0</v>
      </c>
      <c r="F138" s="10" t="s">
        <v>40</v>
      </c>
      <c r="G138" s="10" t="s">
        <v>40</v>
      </c>
      <c r="H138" s="10" t="s">
        <v>41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 t="s">
        <v>103</v>
      </c>
      <c r="B139" s="4">
        <v>44588.0</v>
      </c>
      <c r="C139" s="3" t="s">
        <v>9</v>
      </c>
      <c r="D139" s="3" t="s">
        <v>65</v>
      </c>
      <c r="E139" s="5">
        <v>5000.0</v>
      </c>
      <c r="F139" s="10" t="s">
        <v>40</v>
      </c>
      <c r="G139" s="10" t="s">
        <v>40</v>
      </c>
      <c r="H139" s="10" t="s">
        <v>41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 t="s">
        <v>147</v>
      </c>
      <c r="B140" s="4">
        <v>44588.0</v>
      </c>
      <c r="C140" s="3" t="s">
        <v>15</v>
      </c>
      <c r="D140" s="3" t="s">
        <v>148</v>
      </c>
      <c r="E140" s="5">
        <v>3150.0</v>
      </c>
      <c r="F140" s="10" t="s">
        <v>40</v>
      </c>
      <c r="G140" s="10" t="s">
        <v>40</v>
      </c>
      <c r="H140" s="10" t="s">
        <v>41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 t="s">
        <v>61</v>
      </c>
      <c r="B141" s="4">
        <v>44588.0</v>
      </c>
      <c r="C141" s="3" t="s">
        <v>15</v>
      </c>
      <c r="D141" s="3" t="s">
        <v>149</v>
      </c>
      <c r="E141" s="5">
        <v>941.0</v>
      </c>
      <c r="F141" s="10" t="s">
        <v>41</v>
      </c>
      <c r="G141" s="10" t="s">
        <v>40</v>
      </c>
      <c r="H141" s="10" t="s">
        <v>41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 t="s">
        <v>150</v>
      </c>
      <c r="B142" s="4">
        <v>44589.0</v>
      </c>
      <c r="C142" s="3" t="s">
        <v>9</v>
      </c>
      <c r="D142" s="3" t="s">
        <v>151</v>
      </c>
      <c r="E142" s="5">
        <v>1105.0</v>
      </c>
      <c r="F142" s="10" t="s">
        <v>40</v>
      </c>
      <c r="G142" s="10" t="s">
        <v>90</v>
      </c>
      <c r="H142" s="10" t="s">
        <v>41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 t="s">
        <v>8</v>
      </c>
      <c r="B143" s="4">
        <v>44590.0</v>
      </c>
      <c r="C143" s="3" t="s">
        <v>9</v>
      </c>
      <c r="D143" s="3" t="s">
        <v>152</v>
      </c>
      <c r="E143" s="5">
        <v>212.54</v>
      </c>
      <c r="F143" s="10" t="s">
        <v>40</v>
      </c>
      <c r="G143" s="10" t="s">
        <v>41</v>
      </c>
      <c r="H143" s="10" t="s">
        <v>40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 t="s">
        <v>8</v>
      </c>
      <c r="B144" s="4">
        <v>44590.0</v>
      </c>
      <c r="C144" s="3" t="s">
        <v>9</v>
      </c>
      <c r="D144" s="3" t="s">
        <v>153</v>
      </c>
      <c r="E144" s="5">
        <v>90.0</v>
      </c>
      <c r="F144" s="10" t="s">
        <v>40</v>
      </c>
      <c r="G144" s="10" t="s">
        <v>41</v>
      </c>
      <c r="H144" s="10" t="s">
        <v>40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 t="s">
        <v>8</v>
      </c>
      <c r="B145" s="4">
        <v>44590.0</v>
      </c>
      <c r="C145" s="3" t="s">
        <v>9</v>
      </c>
      <c r="D145" s="3" t="s">
        <v>154</v>
      </c>
      <c r="E145" s="5">
        <v>37.95</v>
      </c>
      <c r="F145" s="10" t="s">
        <v>40</v>
      </c>
      <c r="G145" s="10" t="s">
        <v>41</v>
      </c>
      <c r="H145" s="10" t="s">
        <v>40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 t="s">
        <v>8</v>
      </c>
      <c r="B146" s="4">
        <v>44590.0</v>
      </c>
      <c r="C146" s="3" t="s">
        <v>22</v>
      </c>
      <c r="D146" s="3" t="s">
        <v>155</v>
      </c>
      <c r="E146" s="5">
        <v>290.32</v>
      </c>
      <c r="F146" s="10" t="s">
        <v>40</v>
      </c>
      <c r="G146" s="10" t="s">
        <v>41</v>
      </c>
      <c r="H146" s="10" t="s">
        <v>40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 t="s">
        <v>33</v>
      </c>
      <c r="B147" s="4">
        <v>44594.0</v>
      </c>
      <c r="C147" s="3" t="s">
        <v>22</v>
      </c>
      <c r="D147" s="3" t="s">
        <v>156</v>
      </c>
      <c r="E147" s="5">
        <v>95.0</v>
      </c>
      <c r="F147" s="10" t="s">
        <v>90</v>
      </c>
      <c r="G147" s="10" t="s">
        <v>90</v>
      </c>
      <c r="H147" s="10" t="s">
        <v>90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 t="s">
        <v>61</v>
      </c>
      <c r="B148" s="4">
        <v>44595.0</v>
      </c>
      <c r="C148" s="3" t="s">
        <v>22</v>
      </c>
      <c r="D148" s="3" t="s">
        <v>157</v>
      </c>
      <c r="E148" s="5">
        <v>92.0</v>
      </c>
      <c r="F148" s="10" t="s">
        <v>41</v>
      </c>
      <c r="G148" s="10" t="s">
        <v>40</v>
      </c>
      <c r="H148" s="10" t="s">
        <v>41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 t="s">
        <v>80</v>
      </c>
      <c r="B149" s="4">
        <v>44596.0</v>
      </c>
      <c r="C149" s="3" t="s">
        <v>9</v>
      </c>
      <c r="D149" s="3" t="s">
        <v>158</v>
      </c>
      <c r="E149" s="5">
        <v>5372.46</v>
      </c>
      <c r="F149" s="10" t="s">
        <v>41</v>
      </c>
      <c r="G149" s="10" t="s">
        <v>90</v>
      </c>
      <c r="H149" s="10" t="s">
        <v>41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 t="s">
        <v>61</v>
      </c>
      <c r="B150" s="4">
        <v>44596.0</v>
      </c>
      <c r="C150" s="3" t="s">
        <v>9</v>
      </c>
      <c r="D150" s="3" t="s">
        <v>65</v>
      </c>
      <c r="E150" s="5">
        <v>2000.0</v>
      </c>
      <c r="F150" s="10" t="s">
        <v>40</v>
      </c>
      <c r="G150" s="10" t="s">
        <v>40</v>
      </c>
      <c r="H150" s="10" t="s">
        <v>41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 t="s">
        <v>80</v>
      </c>
      <c r="B151" s="4">
        <v>44596.0</v>
      </c>
      <c r="C151" s="3" t="s">
        <v>9</v>
      </c>
      <c r="D151" s="3" t="s">
        <v>65</v>
      </c>
      <c r="E151" s="5">
        <v>1500.0</v>
      </c>
      <c r="F151" s="10" t="s">
        <v>40</v>
      </c>
      <c r="G151" s="10" t="s">
        <v>40</v>
      </c>
      <c r="H151" s="10" t="s">
        <v>41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 t="s">
        <v>33</v>
      </c>
      <c r="B152" s="4">
        <v>44596.0</v>
      </c>
      <c r="C152" s="3" t="s">
        <v>9</v>
      </c>
      <c r="D152" s="3" t="s">
        <v>65</v>
      </c>
      <c r="E152" s="5">
        <v>1500.0</v>
      </c>
      <c r="F152" s="10" t="s">
        <v>40</v>
      </c>
      <c r="G152" s="10" t="s">
        <v>40</v>
      </c>
      <c r="H152" s="10" t="s">
        <v>41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 t="s">
        <v>150</v>
      </c>
      <c r="B153" s="4">
        <v>44596.0</v>
      </c>
      <c r="C153" s="3" t="s">
        <v>22</v>
      </c>
      <c r="D153" s="3" t="s">
        <v>144</v>
      </c>
      <c r="E153" s="5">
        <v>1470.0</v>
      </c>
      <c r="F153" s="10" t="s">
        <v>41</v>
      </c>
      <c r="G153" s="10" t="s">
        <v>90</v>
      </c>
      <c r="H153" s="10" t="s">
        <v>90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 t="s">
        <v>159</v>
      </c>
      <c r="B154" s="4">
        <v>44599.0</v>
      </c>
      <c r="C154" s="3" t="s">
        <v>9</v>
      </c>
      <c r="D154" s="3" t="s">
        <v>160</v>
      </c>
      <c r="E154" s="5">
        <v>1674.5</v>
      </c>
      <c r="F154" s="10" t="s">
        <v>41</v>
      </c>
      <c r="G154" s="10" t="s">
        <v>90</v>
      </c>
      <c r="H154" s="10" t="s">
        <v>41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 t="s">
        <v>61</v>
      </c>
      <c r="B155" s="4">
        <v>44600.0</v>
      </c>
      <c r="C155" s="3" t="s">
        <v>22</v>
      </c>
      <c r="D155" s="3" t="s">
        <v>161</v>
      </c>
      <c r="E155" s="5">
        <v>620.0</v>
      </c>
      <c r="F155" s="10" t="s">
        <v>41</v>
      </c>
      <c r="G155" s="10" t="s">
        <v>40</v>
      </c>
      <c r="H155" s="10" t="s">
        <v>41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 t="s">
        <v>162</v>
      </c>
      <c r="B156" s="4">
        <v>44600.0</v>
      </c>
      <c r="C156" s="3" t="s">
        <v>9</v>
      </c>
      <c r="D156" s="3" t="s">
        <v>163</v>
      </c>
      <c r="E156" s="5">
        <v>6400.0</v>
      </c>
      <c r="F156" s="10" t="s">
        <v>41</v>
      </c>
      <c r="G156" s="10" t="s">
        <v>90</v>
      </c>
      <c r="H156" s="10" t="s">
        <v>41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 t="s">
        <v>162</v>
      </c>
      <c r="B157" s="4">
        <v>44601.0</v>
      </c>
      <c r="C157" s="3" t="s">
        <v>9</v>
      </c>
      <c r="D157" s="3" t="s">
        <v>164</v>
      </c>
      <c r="E157" s="5">
        <v>6000.0</v>
      </c>
      <c r="F157" s="10" t="s">
        <v>41</v>
      </c>
      <c r="G157" s="10" t="s">
        <v>90</v>
      </c>
      <c r="H157" s="10" t="s">
        <v>41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 t="s">
        <v>159</v>
      </c>
      <c r="B158" s="4">
        <v>44601.0</v>
      </c>
      <c r="C158" s="3" t="s">
        <v>22</v>
      </c>
      <c r="D158" s="3" t="s">
        <v>165</v>
      </c>
      <c r="E158" s="5">
        <v>8600.0</v>
      </c>
      <c r="F158" s="10" t="s">
        <v>90</v>
      </c>
      <c r="G158" s="10" t="s">
        <v>90</v>
      </c>
      <c r="H158" s="10" t="s">
        <v>41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 t="s">
        <v>166</v>
      </c>
      <c r="B159" s="4">
        <v>44601.0</v>
      </c>
      <c r="C159" s="3" t="s">
        <v>9</v>
      </c>
      <c r="D159" s="3" t="s">
        <v>167</v>
      </c>
      <c r="E159" s="5">
        <v>8550.0</v>
      </c>
      <c r="F159" s="10" t="s">
        <v>41</v>
      </c>
      <c r="G159" s="10" t="s">
        <v>90</v>
      </c>
      <c r="H159" s="10" t="s">
        <v>41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 t="s">
        <v>27</v>
      </c>
      <c r="B160" s="4">
        <v>44602.0</v>
      </c>
      <c r="C160" s="3" t="s">
        <v>22</v>
      </c>
      <c r="D160" s="3" t="s">
        <v>108</v>
      </c>
      <c r="E160" s="5">
        <v>184.1</v>
      </c>
      <c r="F160" s="10" t="s">
        <v>40</v>
      </c>
      <c r="G160" s="10" t="s">
        <v>40</v>
      </c>
      <c r="H160" s="10" t="s">
        <v>41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 t="s">
        <v>162</v>
      </c>
      <c r="B161" s="4">
        <v>44603.0</v>
      </c>
      <c r="C161" s="3" t="s">
        <v>15</v>
      </c>
      <c r="D161" s="3" t="s">
        <v>168</v>
      </c>
      <c r="E161" s="5">
        <v>417.0</v>
      </c>
      <c r="F161" s="10" t="s">
        <v>40</v>
      </c>
      <c r="G161" s="10" t="s">
        <v>40</v>
      </c>
      <c r="H161" s="10" t="s">
        <v>41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 t="s">
        <v>103</v>
      </c>
      <c r="B162" s="4">
        <v>44603.0</v>
      </c>
      <c r="C162" s="3" t="s">
        <v>15</v>
      </c>
      <c r="D162" s="3" t="s">
        <v>169</v>
      </c>
      <c r="E162" s="5">
        <v>360.0</v>
      </c>
      <c r="F162" s="10" t="s">
        <v>40</v>
      </c>
      <c r="G162" s="10" t="s">
        <v>40</v>
      </c>
      <c r="H162" s="10" t="s">
        <v>41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 t="s">
        <v>33</v>
      </c>
      <c r="B163" s="4">
        <v>44603.0</v>
      </c>
      <c r="C163" s="3" t="s">
        <v>15</v>
      </c>
      <c r="D163" s="3" t="s">
        <v>170</v>
      </c>
      <c r="E163" s="5">
        <v>2587.99</v>
      </c>
      <c r="F163" s="10" t="s">
        <v>40</v>
      </c>
      <c r="G163" s="10" t="s">
        <v>41</v>
      </c>
      <c r="H163" s="10" t="s">
        <v>41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 t="s">
        <v>162</v>
      </c>
      <c r="B164" s="4">
        <v>44607.0</v>
      </c>
      <c r="C164" s="3" t="s">
        <v>9</v>
      </c>
      <c r="D164" s="3" t="s">
        <v>171</v>
      </c>
      <c r="E164" s="5">
        <v>2295.0</v>
      </c>
      <c r="F164" s="10" t="s">
        <v>40</v>
      </c>
      <c r="G164" s="10" t="s">
        <v>40</v>
      </c>
      <c r="H164" s="10" t="s">
        <v>41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 t="s">
        <v>61</v>
      </c>
      <c r="B165" s="4">
        <v>44608.0</v>
      </c>
      <c r="C165" s="3" t="s">
        <v>9</v>
      </c>
      <c r="D165" s="3" t="s">
        <v>65</v>
      </c>
      <c r="E165" s="5">
        <v>2500.0</v>
      </c>
      <c r="F165" s="10" t="s">
        <v>40</v>
      </c>
      <c r="G165" s="10" t="s">
        <v>40</v>
      </c>
      <c r="H165" s="10" t="s">
        <v>41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 t="s">
        <v>80</v>
      </c>
      <c r="B166" s="4">
        <v>44608.0</v>
      </c>
      <c r="C166" s="3" t="s">
        <v>9</v>
      </c>
      <c r="D166" s="3" t="s">
        <v>65</v>
      </c>
      <c r="E166" s="5">
        <v>2500.0</v>
      </c>
      <c r="F166" s="10" t="s">
        <v>40</v>
      </c>
      <c r="G166" s="10" t="s">
        <v>40</v>
      </c>
      <c r="H166" s="10" t="s">
        <v>41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 t="s">
        <v>150</v>
      </c>
      <c r="B167" s="4">
        <v>44610.0</v>
      </c>
      <c r="C167" s="3" t="s">
        <v>9</v>
      </c>
      <c r="D167" s="3" t="s">
        <v>172</v>
      </c>
      <c r="E167" s="5">
        <v>1420.5</v>
      </c>
      <c r="F167" s="10" t="s">
        <v>40</v>
      </c>
      <c r="G167" s="10" t="s">
        <v>90</v>
      </c>
      <c r="H167" s="10" t="s">
        <v>41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 t="s">
        <v>150</v>
      </c>
      <c r="B168" s="4">
        <v>44610.0</v>
      </c>
      <c r="C168" s="3" t="s">
        <v>9</v>
      </c>
      <c r="D168" s="3" t="s">
        <v>173</v>
      </c>
      <c r="E168" s="5">
        <v>1070.0</v>
      </c>
      <c r="F168" s="10" t="s">
        <v>40</v>
      </c>
      <c r="G168" s="10" t="s">
        <v>90</v>
      </c>
      <c r="H168" s="10" t="s">
        <v>41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 t="s">
        <v>162</v>
      </c>
      <c r="B169" s="4">
        <v>44616.0</v>
      </c>
      <c r="C169" s="3" t="s">
        <v>9</v>
      </c>
      <c r="D169" s="3" t="s">
        <v>174</v>
      </c>
      <c r="E169" s="5">
        <v>2295.0</v>
      </c>
      <c r="F169" s="10" t="s">
        <v>40</v>
      </c>
      <c r="G169" s="10" t="s">
        <v>40</v>
      </c>
      <c r="H169" s="10" t="s">
        <v>41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 t="s">
        <v>150</v>
      </c>
      <c r="B170" s="4">
        <v>44617.0</v>
      </c>
      <c r="C170" s="3" t="s">
        <v>22</v>
      </c>
      <c r="D170" s="3" t="s">
        <v>175</v>
      </c>
      <c r="E170" s="5">
        <v>200.0</v>
      </c>
      <c r="F170" s="10" t="s">
        <v>40</v>
      </c>
      <c r="G170" s="10" t="s">
        <v>40</v>
      </c>
      <c r="H170" s="10" t="s">
        <v>90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 t="s">
        <v>150</v>
      </c>
      <c r="B171" s="4">
        <v>44617.0</v>
      </c>
      <c r="C171" s="3" t="s">
        <v>9</v>
      </c>
      <c r="D171" s="3" t="s">
        <v>65</v>
      </c>
      <c r="E171" s="5">
        <v>5000.0</v>
      </c>
      <c r="F171" s="10" t="s">
        <v>40</v>
      </c>
      <c r="G171" s="10" t="s">
        <v>40</v>
      </c>
      <c r="H171" s="10" t="s">
        <v>41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 t="s">
        <v>61</v>
      </c>
      <c r="B172" s="4">
        <v>44618.0</v>
      </c>
      <c r="C172" s="3" t="s">
        <v>15</v>
      </c>
      <c r="D172" s="3" t="s">
        <v>176</v>
      </c>
      <c r="E172" s="5">
        <v>280.0</v>
      </c>
      <c r="F172" s="10" t="s">
        <v>40</v>
      </c>
      <c r="G172" s="10" t="s">
        <v>40</v>
      </c>
      <c r="H172" s="10" t="s">
        <v>41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 t="s">
        <v>80</v>
      </c>
      <c r="B173" s="4">
        <v>44618.0</v>
      </c>
      <c r="C173" s="3" t="s">
        <v>15</v>
      </c>
      <c r="D173" s="3" t="s">
        <v>177</v>
      </c>
      <c r="E173" s="5">
        <v>133.3</v>
      </c>
      <c r="F173" s="10" t="s">
        <v>40</v>
      </c>
      <c r="G173" s="10" t="s">
        <v>40</v>
      </c>
      <c r="H173" s="10" t="s">
        <v>41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 t="s">
        <v>162</v>
      </c>
      <c r="B174" s="4">
        <v>44618.0</v>
      </c>
      <c r="C174" s="3" t="s">
        <v>22</v>
      </c>
      <c r="D174" s="3" t="s">
        <v>178</v>
      </c>
      <c r="E174" s="5">
        <v>50.0</v>
      </c>
      <c r="F174" s="10" t="s">
        <v>40</v>
      </c>
      <c r="G174" s="10" t="s">
        <v>40</v>
      </c>
      <c r="H174" s="10" t="s">
        <v>90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 t="s">
        <v>61</v>
      </c>
      <c r="B175" s="4">
        <v>44618.0</v>
      </c>
      <c r="C175" s="3" t="s">
        <v>15</v>
      </c>
      <c r="D175" s="3" t="s">
        <v>179</v>
      </c>
      <c r="E175" s="5">
        <v>150.0</v>
      </c>
      <c r="F175" s="10" t="s">
        <v>41</v>
      </c>
      <c r="G175" s="10" t="s">
        <v>40</v>
      </c>
      <c r="H175" s="10" t="s">
        <v>41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 t="s">
        <v>61</v>
      </c>
      <c r="B176" s="4">
        <v>44622.0</v>
      </c>
      <c r="C176" s="3" t="s">
        <v>9</v>
      </c>
      <c r="D176" s="3" t="s">
        <v>180</v>
      </c>
      <c r="E176" s="5">
        <v>500.0</v>
      </c>
      <c r="F176" s="10" t="s">
        <v>40</v>
      </c>
      <c r="G176" s="10" t="s">
        <v>41</v>
      </c>
      <c r="H176" s="10" t="s">
        <v>41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 t="s">
        <v>181</v>
      </c>
      <c r="B177" s="4">
        <v>44622.0</v>
      </c>
      <c r="C177" s="3" t="s">
        <v>9</v>
      </c>
      <c r="D177" s="3" t="s">
        <v>182</v>
      </c>
      <c r="E177" s="5">
        <v>799.67</v>
      </c>
      <c r="F177" s="11" t="s">
        <v>41</v>
      </c>
      <c r="G177" s="11" t="s">
        <v>90</v>
      </c>
      <c r="H177" s="11" t="s">
        <v>41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2" t="s">
        <v>181</v>
      </c>
      <c r="B178" s="13">
        <v>44622.0</v>
      </c>
      <c r="C178" s="12" t="s">
        <v>9</v>
      </c>
      <c r="D178" s="12" t="s">
        <v>183</v>
      </c>
      <c r="E178" s="14">
        <v>815.43</v>
      </c>
      <c r="F178" s="11" t="s">
        <v>41</v>
      </c>
      <c r="G178" s="11" t="s">
        <v>41</v>
      </c>
      <c r="H178" s="11" t="s">
        <v>41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 t="s">
        <v>150</v>
      </c>
      <c r="B179" s="4">
        <v>44622.0</v>
      </c>
      <c r="C179" s="3" t="s">
        <v>9</v>
      </c>
      <c r="D179" s="3" t="s">
        <v>184</v>
      </c>
      <c r="E179" s="5">
        <v>1890.0</v>
      </c>
      <c r="F179" s="11" t="s">
        <v>40</v>
      </c>
      <c r="G179" s="11" t="s">
        <v>40</v>
      </c>
      <c r="H179" s="11" t="s">
        <v>41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 t="s">
        <v>162</v>
      </c>
      <c r="B180" s="4">
        <v>44623.0</v>
      </c>
      <c r="C180" s="3" t="s">
        <v>15</v>
      </c>
      <c r="D180" s="3" t="s">
        <v>185</v>
      </c>
      <c r="E180" s="5">
        <v>150.0</v>
      </c>
      <c r="F180" s="11" t="s">
        <v>40</v>
      </c>
      <c r="G180" s="11" t="s">
        <v>40</v>
      </c>
      <c r="H180" s="11" t="s">
        <v>41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 t="s">
        <v>80</v>
      </c>
      <c r="B181" s="4">
        <v>44623.0</v>
      </c>
      <c r="C181" s="3" t="s">
        <v>15</v>
      </c>
      <c r="D181" s="3" t="s">
        <v>186</v>
      </c>
      <c r="E181" s="5">
        <v>156.0</v>
      </c>
      <c r="F181" s="11" t="s">
        <v>40</v>
      </c>
      <c r="G181" s="11" t="s">
        <v>40</v>
      </c>
      <c r="H181" s="11" t="s">
        <v>41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 t="s">
        <v>61</v>
      </c>
      <c r="B182" s="4">
        <v>44623.0</v>
      </c>
      <c r="C182" s="3" t="s">
        <v>15</v>
      </c>
      <c r="D182" s="3" t="s">
        <v>187</v>
      </c>
      <c r="E182" s="5">
        <v>313.0</v>
      </c>
      <c r="F182" s="11" t="s">
        <v>40</v>
      </c>
      <c r="G182" s="11" t="s">
        <v>40</v>
      </c>
      <c r="H182" s="11" t="s">
        <v>41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 t="s">
        <v>150</v>
      </c>
      <c r="B183" s="4">
        <v>44624.0</v>
      </c>
      <c r="C183" s="3" t="s">
        <v>9</v>
      </c>
      <c r="D183" s="3" t="s">
        <v>188</v>
      </c>
      <c r="E183" s="5">
        <v>5000.0</v>
      </c>
      <c r="F183" s="11" t="s">
        <v>40</v>
      </c>
      <c r="G183" s="11" t="s">
        <v>40</v>
      </c>
      <c r="H183" s="11" t="s">
        <v>41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 t="s">
        <v>150</v>
      </c>
      <c r="B184" s="4">
        <v>44627.0</v>
      </c>
      <c r="C184" s="3" t="s">
        <v>9</v>
      </c>
      <c r="D184" s="3" t="s">
        <v>189</v>
      </c>
      <c r="E184" s="5">
        <v>1409.5</v>
      </c>
      <c r="F184" s="11" t="s">
        <v>40</v>
      </c>
      <c r="G184" s="11" t="s">
        <v>41</v>
      </c>
      <c r="H184" s="11" t="s">
        <v>41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 t="s">
        <v>150</v>
      </c>
      <c r="B185" s="4">
        <v>44627.0</v>
      </c>
      <c r="C185" s="3" t="s">
        <v>9</v>
      </c>
      <c r="D185" s="3" t="s">
        <v>190</v>
      </c>
      <c r="E185" s="5">
        <v>526.38</v>
      </c>
      <c r="F185" s="11" t="s">
        <v>40</v>
      </c>
      <c r="G185" s="11" t="s">
        <v>40</v>
      </c>
      <c r="H185" s="11" t="s">
        <v>41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 t="s">
        <v>150</v>
      </c>
      <c r="B186" s="4">
        <v>44627.0</v>
      </c>
      <c r="C186" s="3" t="s">
        <v>9</v>
      </c>
      <c r="D186" s="3" t="s">
        <v>180</v>
      </c>
      <c r="E186" s="5">
        <v>500.0</v>
      </c>
      <c r="F186" s="11" t="s">
        <v>40</v>
      </c>
      <c r="G186" s="11" t="s">
        <v>41</v>
      </c>
      <c r="H186" s="11" t="s">
        <v>41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 t="s">
        <v>27</v>
      </c>
      <c r="B187" s="4">
        <v>44629.0</v>
      </c>
      <c r="C187" s="3" t="s">
        <v>9</v>
      </c>
      <c r="D187" s="3" t="s">
        <v>191</v>
      </c>
      <c r="E187" s="5">
        <v>1068.2</v>
      </c>
      <c r="F187" s="11" t="s">
        <v>41</v>
      </c>
      <c r="G187" s="11" t="s">
        <v>40</v>
      </c>
      <c r="H187" s="11" t="s">
        <v>41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 t="s">
        <v>150</v>
      </c>
      <c r="B188" s="4">
        <v>44629.0</v>
      </c>
      <c r="C188" s="3" t="s">
        <v>9</v>
      </c>
      <c r="D188" s="3" t="s">
        <v>192</v>
      </c>
      <c r="E188" s="5">
        <v>1500.0</v>
      </c>
      <c r="F188" s="11" t="s">
        <v>40</v>
      </c>
      <c r="G188" s="11" t="s">
        <v>41</v>
      </c>
      <c r="H188" s="11" t="s">
        <v>41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 t="s">
        <v>27</v>
      </c>
      <c r="B189" s="4">
        <v>44629.0</v>
      </c>
      <c r="C189" s="3" t="s">
        <v>15</v>
      </c>
      <c r="D189" s="3" t="s">
        <v>108</v>
      </c>
      <c r="E189" s="5">
        <v>184.8</v>
      </c>
      <c r="F189" s="11" t="s">
        <v>40</v>
      </c>
      <c r="G189" s="11" t="s">
        <v>40</v>
      </c>
      <c r="H189" s="11" t="s">
        <v>41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 t="s">
        <v>150</v>
      </c>
      <c r="B190" s="4">
        <v>44629.0</v>
      </c>
      <c r="C190" s="3" t="s">
        <v>15</v>
      </c>
      <c r="D190" s="3" t="s">
        <v>193</v>
      </c>
      <c r="E190" s="5">
        <v>360.0</v>
      </c>
      <c r="F190" s="11" t="s">
        <v>40</v>
      </c>
      <c r="G190" s="11" t="s">
        <v>41</v>
      </c>
      <c r="H190" s="11" t="s">
        <v>41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 t="s">
        <v>27</v>
      </c>
      <c r="B191" s="4">
        <v>44630.0</v>
      </c>
      <c r="C191" s="3" t="s">
        <v>9</v>
      </c>
      <c r="D191" s="3" t="s">
        <v>194</v>
      </c>
      <c r="E191" s="5">
        <v>52.52</v>
      </c>
      <c r="F191" s="11" t="s">
        <v>90</v>
      </c>
      <c r="G191" s="11" t="s">
        <v>40</v>
      </c>
      <c r="H191" s="11" t="s">
        <v>41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 t="s">
        <v>27</v>
      </c>
      <c r="B192" s="4">
        <v>44630.0</v>
      </c>
      <c r="C192" s="3" t="s">
        <v>9</v>
      </c>
      <c r="D192" s="3" t="s">
        <v>195</v>
      </c>
      <c r="E192" s="5">
        <v>67.05</v>
      </c>
      <c r="F192" s="11" t="s">
        <v>90</v>
      </c>
      <c r="G192" s="11" t="s">
        <v>40</v>
      </c>
      <c r="H192" s="11" t="s">
        <v>41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 t="s">
        <v>27</v>
      </c>
      <c r="B193" s="4">
        <v>44630.0</v>
      </c>
      <c r="C193" s="3" t="s">
        <v>9</v>
      </c>
      <c r="D193" s="3" t="s">
        <v>196</v>
      </c>
      <c r="E193" s="5">
        <v>93.06</v>
      </c>
      <c r="F193" s="11" t="s">
        <v>90</v>
      </c>
      <c r="G193" s="11" t="s">
        <v>40</v>
      </c>
      <c r="H193" s="11" t="s">
        <v>41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 t="s">
        <v>27</v>
      </c>
      <c r="B194" s="4">
        <v>44630.0</v>
      </c>
      <c r="C194" s="3" t="s">
        <v>9</v>
      </c>
      <c r="D194" s="3" t="s">
        <v>197</v>
      </c>
      <c r="E194" s="5">
        <v>90.45</v>
      </c>
      <c r="F194" s="11" t="s">
        <v>90</v>
      </c>
      <c r="G194" s="11" t="s">
        <v>40</v>
      </c>
      <c r="H194" s="11" t="s">
        <v>41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 t="s">
        <v>150</v>
      </c>
      <c r="B195" s="4">
        <v>44631.0</v>
      </c>
      <c r="C195" s="3" t="s">
        <v>9</v>
      </c>
      <c r="D195" s="3" t="s">
        <v>188</v>
      </c>
      <c r="E195" s="5">
        <v>3000.0</v>
      </c>
      <c r="F195" s="11" t="s">
        <v>40</v>
      </c>
      <c r="G195" s="11" t="s">
        <v>40</v>
      </c>
      <c r="H195" s="11" t="s">
        <v>41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 t="s">
        <v>162</v>
      </c>
      <c r="B196" s="4">
        <v>44631.0</v>
      </c>
      <c r="C196" s="3" t="s">
        <v>9</v>
      </c>
      <c r="D196" s="3" t="s">
        <v>198</v>
      </c>
      <c r="E196" s="5">
        <v>5000.0</v>
      </c>
      <c r="F196" s="11" t="s">
        <v>40</v>
      </c>
      <c r="G196" s="11" t="s">
        <v>40</v>
      </c>
      <c r="H196" s="11" t="s">
        <v>41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 t="s">
        <v>150</v>
      </c>
      <c r="B197" s="4">
        <v>44631.0</v>
      </c>
      <c r="C197" s="3" t="s">
        <v>15</v>
      </c>
      <c r="D197" s="3" t="s">
        <v>199</v>
      </c>
      <c r="E197" s="5">
        <v>3000.0</v>
      </c>
      <c r="F197" s="11" t="s">
        <v>40</v>
      </c>
      <c r="G197" s="11" t="s">
        <v>40</v>
      </c>
      <c r="H197" s="11" t="s">
        <v>41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 t="s">
        <v>141</v>
      </c>
      <c r="B198" s="4">
        <v>44631.0</v>
      </c>
      <c r="C198" s="3" t="s">
        <v>15</v>
      </c>
      <c r="D198" s="3" t="s">
        <v>200</v>
      </c>
      <c r="E198" s="5">
        <v>2077.49</v>
      </c>
      <c r="F198" s="11" t="s">
        <v>41</v>
      </c>
      <c r="G198" s="11" t="s">
        <v>41</v>
      </c>
      <c r="H198" s="11" t="s">
        <v>41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 t="s">
        <v>141</v>
      </c>
      <c r="B199" s="4">
        <v>44634.0</v>
      </c>
      <c r="C199" s="3" t="s">
        <v>15</v>
      </c>
      <c r="D199" s="3" t="s">
        <v>201</v>
      </c>
      <c r="E199" s="5">
        <v>270.0</v>
      </c>
      <c r="F199" s="11" t="s">
        <v>41</v>
      </c>
      <c r="G199" s="11" t="s">
        <v>40</v>
      </c>
      <c r="H199" s="11" t="s">
        <v>41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 t="s">
        <v>162</v>
      </c>
      <c r="B200" s="4">
        <v>44634.0</v>
      </c>
      <c r="C200" s="3" t="s">
        <v>9</v>
      </c>
      <c r="D200" s="3" t="s">
        <v>198</v>
      </c>
      <c r="E200" s="5">
        <v>1405.0</v>
      </c>
      <c r="F200" s="11" t="s">
        <v>40</v>
      </c>
      <c r="G200" s="11" t="s">
        <v>40</v>
      </c>
      <c r="H200" s="11" t="s">
        <v>41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 t="s">
        <v>33</v>
      </c>
      <c r="B201" s="4">
        <v>44632.0</v>
      </c>
      <c r="C201" s="3" t="s">
        <v>9</v>
      </c>
      <c r="D201" s="3" t="s">
        <v>202</v>
      </c>
      <c r="E201" s="5">
        <v>40.9</v>
      </c>
      <c r="F201" s="11" t="s">
        <v>40</v>
      </c>
      <c r="G201" s="11" t="s">
        <v>41</v>
      </c>
      <c r="H201" s="11" t="s">
        <v>41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 t="s">
        <v>33</v>
      </c>
      <c r="B202" s="4">
        <v>44632.0</v>
      </c>
      <c r="C202" s="3" t="s">
        <v>9</v>
      </c>
      <c r="D202" s="3" t="s">
        <v>203</v>
      </c>
      <c r="E202" s="5">
        <v>128.98</v>
      </c>
      <c r="F202" s="11" t="s">
        <v>40</v>
      </c>
      <c r="G202" s="11" t="s">
        <v>41</v>
      </c>
      <c r="H202" s="11" t="s">
        <v>41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 t="s">
        <v>33</v>
      </c>
      <c r="B203" s="4">
        <v>44632.0</v>
      </c>
      <c r="C203" s="3" t="s">
        <v>9</v>
      </c>
      <c r="D203" s="3" t="s">
        <v>204</v>
      </c>
      <c r="E203" s="5">
        <v>114.4</v>
      </c>
      <c r="F203" s="11" t="s">
        <v>41</v>
      </c>
      <c r="G203" s="11" t="s">
        <v>41</v>
      </c>
      <c r="H203" s="11" t="s">
        <v>41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 t="s">
        <v>33</v>
      </c>
      <c r="B204" s="4">
        <v>44634.0</v>
      </c>
      <c r="C204" s="3" t="s">
        <v>22</v>
      </c>
      <c r="D204" s="3" t="s">
        <v>205</v>
      </c>
      <c r="E204" s="5">
        <v>90.77</v>
      </c>
      <c r="F204" s="11" t="s">
        <v>40</v>
      </c>
      <c r="G204" s="11" t="s">
        <v>41</v>
      </c>
      <c r="H204" s="11" t="s">
        <v>41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 t="s">
        <v>150</v>
      </c>
      <c r="B205" s="4">
        <v>44634.0</v>
      </c>
      <c r="C205" s="3" t="s">
        <v>22</v>
      </c>
      <c r="D205" s="3" t="s">
        <v>206</v>
      </c>
      <c r="E205" s="5">
        <v>44.5</v>
      </c>
      <c r="F205" s="11" t="s">
        <v>41</v>
      </c>
      <c r="G205" s="11" t="s">
        <v>40</v>
      </c>
      <c r="H205" s="11" t="s">
        <v>41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 t="s">
        <v>207</v>
      </c>
      <c r="B206" s="4">
        <v>44634.0</v>
      </c>
      <c r="C206" s="3" t="s">
        <v>9</v>
      </c>
      <c r="D206" s="3" t="s">
        <v>208</v>
      </c>
      <c r="E206" s="5">
        <v>708.0</v>
      </c>
      <c r="F206" s="11" t="s">
        <v>40</v>
      </c>
      <c r="G206" s="11" t="s">
        <v>41</v>
      </c>
      <c r="H206" s="11" t="s">
        <v>41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 t="s">
        <v>80</v>
      </c>
      <c r="B207" s="4">
        <v>44636.0</v>
      </c>
      <c r="C207" s="3" t="s">
        <v>9</v>
      </c>
      <c r="D207" s="3" t="s">
        <v>209</v>
      </c>
      <c r="E207" s="5">
        <v>156.4</v>
      </c>
      <c r="F207" s="11" t="s">
        <v>41</v>
      </c>
      <c r="G207" s="11" t="s">
        <v>41</v>
      </c>
      <c r="H207" s="11" t="s">
        <v>41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 t="s">
        <v>61</v>
      </c>
      <c r="B208" s="4">
        <v>44637.0</v>
      </c>
      <c r="C208" s="3" t="s">
        <v>15</v>
      </c>
      <c r="D208" s="3" t="s">
        <v>210</v>
      </c>
      <c r="E208" s="5">
        <v>509.25</v>
      </c>
      <c r="F208" s="11" t="s">
        <v>41</v>
      </c>
      <c r="G208" s="11" t="s">
        <v>40</v>
      </c>
      <c r="H208" s="11" t="s">
        <v>41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 t="s">
        <v>61</v>
      </c>
      <c r="B209" s="4">
        <v>44637.0</v>
      </c>
      <c r="C209" s="3" t="s">
        <v>15</v>
      </c>
      <c r="D209" s="3" t="s">
        <v>211</v>
      </c>
      <c r="E209" s="5">
        <v>43.5</v>
      </c>
      <c r="F209" s="11" t="s">
        <v>40</v>
      </c>
      <c r="G209" s="11" t="s">
        <v>41</v>
      </c>
      <c r="H209" s="11" t="s">
        <v>41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 t="s">
        <v>207</v>
      </c>
      <c r="B210" s="4">
        <v>44638.0</v>
      </c>
      <c r="C210" s="3" t="s">
        <v>9</v>
      </c>
      <c r="D210" s="3" t="s">
        <v>212</v>
      </c>
      <c r="E210" s="5">
        <v>6874.27</v>
      </c>
      <c r="F210" s="11" t="s">
        <v>40</v>
      </c>
      <c r="G210" s="11" t="s">
        <v>41</v>
      </c>
      <c r="H210" s="11" t="s">
        <v>41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 t="s">
        <v>207</v>
      </c>
      <c r="B211" s="4">
        <v>44638.0</v>
      </c>
      <c r="C211" s="3" t="s">
        <v>9</v>
      </c>
      <c r="D211" s="3" t="s">
        <v>213</v>
      </c>
      <c r="E211" s="5">
        <v>3700.0</v>
      </c>
      <c r="F211" s="11" t="s">
        <v>40</v>
      </c>
      <c r="G211" s="11" t="s">
        <v>40</v>
      </c>
      <c r="H211" s="11" t="s">
        <v>41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 t="s">
        <v>141</v>
      </c>
      <c r="B212" s="4">
        <v>44637.0</v>
      </c>
      <c r="C212" s="3" t="s">
        <v>9</v>
      </c>
      <c r="D212" s="3" t="s">
        <v>214</v>
      </c>
      <c r="E212" s="5">
        <v>271.1</v>
      </c>
      <c r="F212" s="11" t="s">
        <v>40</v>
      </c>
      <c r="G212" s="11" t="s">
        <v>41</v>
      </c>
      <c r="H212" s="11" t="s">
        <v>41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 t="s">
        <v>150</v>
      </c>
      <c r="B213" s="4">
        <v>44638.0</v>
      </c>
      <c r="C213" s="3" t="s">
        <v>9</v>
      </c>
      <c r="D213" s="3" t="s">
        <v>215</v>
      </c>
      <c r="E213" s="5">
        <v>3050.0</v>
      </c>
      <c r="F213" s="11" t="s">
        <v>40</v>
      </c>
      <c r="G213" s="11" t="s">
        <v>40</v>
      </c>
      <c r="H213" s="11" t="s">
        <v>41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 t="s">
        <v>207</v>
      </c>
      <c r="B214" s="4">
        <v>44639.0</v>
      </c>
      <c r="C214" s="3" t="s">
        <v>15</v>
      </c>
      <c r="D214" s="3" t="s">
        <v>216</v>
      </c>
      <c r="E214" s="5">
        <v>95.0</v>
      </c>
      <c r="F214" s="11" t="s">
        <v>40</v>
      </c>
      <c r="G214" s="11" t="s">
        <v>41</v>
      </c>
      <c r="H214" s="11" t="s">
        <v>41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 t="s">
        <v>207</v>
      </c>
      <c r="B215" s="4">
        <v>44639.0</v>
      </c>
      <c r="C215" s="3" t="s">
        <v>9</v>
      </c>
      <c r="D215" s="3" t="s">
        <v>217</v>
      </c>
      <c r="E215" s="5">
        <v>2269.0</v>
      </c>
      <c r="F215" s="11" t="s">
        <v>40</v>
      </c>
      <c r="G215" s="11" t="s">
        <v>40</v>
      </c>
      <c r="H215" s="11" t="s">
        <v>41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 t="s">
        <v>33</v>
      </c>
      <c r="B216" s="4">
        <v>44639.0</v>
      </c>
      <c r="C216" s="3" t="s">
        <v>9</v>
      </c>
      <c r="D216" s="3" t="s">
        <v>218</v>
      </c>
      <c r="E216" s="5">
        <v>492.38</v>
      </c>
      <c r="F216" s="11" t="s">
        <v>40</v>
      </c>
      <c r="G216" s="11" t="s">
        <v>41</v>
      </c>
      <c r="H216" s="11" t="s">
        <v>41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 t="s">
        <v>33</v>
      </c>
      <c r="B217" s="4">
        <v>44641.0</v>
      </c>
      <c r="C217" s="3" t="s">
        <v>9</v>
      </c>
      <c r="D217" s="3" t="s">
        <v>219</v>
      </c>
      <c r="E217" s="5">
        <v>1369.55</v>
      </c>
      <c r="F217" s="11" t="s">
        <v>41</v>
      </c>
      <c r="G217" s="11" t="s">
        <v>41</v>
      </c>
      <c r="H217" s="11" t="s">
        <v>41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 t="s">
        <v>33</v>
      </c>
      <c r="B218" s="4">
        <v>44641.0</v>
      </c>
      <c r="C218" s="3" t="s">
        <v>9</v>
      </c>
      <c r="D218" s="3" t="s">
        <v>220</v>
      </c>
      <c r="E218" s="5">
        <v>69.36</v>
      </c>
      <c r="F218" s="11" t="s">
        <v>41</v>
      </c>
      <c r="G218" s="11" t="s">
        <v>41</v>
      </c>
      <c r="H218" s="11" t="s">
        <v>41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 t="s">
        <v>150</v>
      </c>
      <c r="B219" s="4">
        <v>44642.0</v>
      </c>
      <c r="C219" s="3" t="s">
        <v>15</v>
      </c>
      <c r="D219" s="3" t="s">
        <v>221</v>
      </c>
      <c r="E219" s="5">
        <v>1050.0</v>
      </c>
      <c r="F219" s="11" t="s">
        <v>40</v>
      </c>
      <c r="G219" s="11" t="s">
        <v>40</v>
      </c>
      <c r="H219" s="11" t="s">
        <v>41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 t="s">
        <v>80</v>
      </c>
      <c r="B220" s="4">
        <v>44642.0</v>
      </c>
      <c r="C220" s="3" t="s">
        <v>22</v>
      </c>
      <c r="D220" s="3" t="s">
        <v>222</v>
      </c>
      <c r="E220" s="5">
        <v>40.0</v>
      </c>
      <c r="F220" s="11" t="s">
        <v>41</v>
      </c>
      <c r="G220" s="11" t="s">
        <v>40</v>
      </c>
      <c r="H220" s="11" t="s">
        <v>41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 t="s">
        <v>207</v>
      </c>
      <c r="B221" s="4">
        <v>44643.0</v>
      </c>
      <c r="C221" s="3" t="s">
        <v>15</v>
      </c>
      <c r="D221" s="3" t="s">
        <v>223</v>
      </c>
      <c r="E221" s="5">
        <v>566.0</v>
      </c>
      <c r="F221" s="11" t="s">
        <v>40</v>
      </c>
      <c r="G221" s="11" t="s">
        <v>41</v>
      </c>
      <c r="H221" s="11" t="s">
        <v>41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 t="s">
        <v>207</v>
      </c>
      <c r="B222" s="4">
        <v>44643.0</v>
      </c>
      <c r="C222" s="3" t="s">
        <v>15</v>
      </c>
      <c r="D222" s="3" t="s">
        <v>224</v>
      </c>
      <c r="E222" s="5">
        <v>307.97</v>
      </c>
      <c r="F222" s="11" t="s">
        <v>40</v>
      </c>
      <c r="G222" s="11" t="s">
        <v>41</v>
      </c>
      <c r="H222" s="11" t="s">
        <v>41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 t="s">
        <v>80</v>
      </c>
      <c r="B223" s="4">
        <v>44643.0</v>
      </c>
      <c r="C223" s="3" t="s">
        <v>15</v>
      </c>
      <c r="D223" s="3" t="s">
        <v>225</v>
      </c>
      <c r="E223" s="5">
        <v>79.82</v>
      </c>
      <c r="F223" s="11" t="s">
        <v>40</v>
      </c>
      <c r="G223" s="11" t="s">
        <v>41</v>
      </c>
      <c r="H223" s="11" t="s">
        <v>41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 t="s">
        <v>150</v>
      </c>
      <c r="B224" s="4">
        <v>44644.0</v>
      </c>
      <c r="C224" s="3" t="s">
        <v>15</v>
      </c>
      <c r="D224" s="3" t="s">
        <v>226</v>
      </c>
      <c r="E224" s="5">
        <v>2100.0</v>
      </c>
      <c r="F224" s="11" t="s">
        <v>40</v>
      </c>
      <c r="G224" s="11" t="s">
        <v>40</v>
      </c>
      <c r="H224" s="11" t="s">
        <v>41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 t="s">
        <v>162</v>
      </c>
      <c r="B225" s="4">
        <v>44644.0</v>
      </c>
      <c r="C225" s="3" t="s">
        <v>9</v>
      </c>
      <c r="D225" s="3" t="s">
        <v>227</v>
      </c>
      <c r="E225" s="5">
        <v>6405.0</v>
      </c>
      <c r="F225" s="11" t="s">
        <v>40</v>
      </c>
      <c r="G225" s="11" t="s">
        <v>40</v>
      </c>
      <c r="H225" s="11" t="s">
        <v>41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 t="s">
        <v>33</v>
      </c>
      <c r="B226" s="4">
        <v>44644.0</v>
      </c>
      <c r="C226" s="3" t="s">
        <v>9</v>
      </c>
      <c r="D226" s="3" t="s">
        <v>228</v>
      </c>
      <c r="E226" s="5">
        <v>861.3</v>
      </c>
      <c r="F226" s="11" t="s">
        <v>41</v>
      </c>
      <c r="G226" s="11" t="s">
        <v>41</v>
      </c>
      <c r="H226" s="11" t="s">
        <v>41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 t="s">
        <v>207</v>
      </c>
      <c r="B227" s="4">
        <v>44645.0</v>
      </c>
      <c r="C227" s="3" t="s">
        <v>15</v>
      </c>
      <c r="D227" s="3" t="s">
        <v>229</v>
      </c>
      <c r="E227" s="5">
        <v>2000.0</v>
      </c>
      <c r="F227" s="11" t="s">
        <v>40</v>
      </c>
      <c r="G227" s="11" t="s">
        <v>40</v>
      </c>
      <c r="H227" s="11" t="s">
        <v>41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 t="s">
        <v>141</v>
      </c>
      <c r="B228" s="4">
        <v>44645.0</v>
      </c>
      <c r="C228" s="3" t="s">
        <v>9</v>
      </c>
      <c r="D228" s="3" t="s">
        <v>230</v>
      </c>
      <c r="E228" s="5">
        <v>5000.0</v>
      </c>
      <c r="F228" s="11" t="s">
        <v>40</v>
      </c>
      <c r="G228" s="11" t="s">
        <v>40</v>
      </c>
      <c r="H228" s="11" t="s">
        <v>41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 t="s">
        <v>207</v>
      </c>
      <c r="B229" s="4">
        <v>44646.0</v>
      </c>
      <c r="C229" s="3" t="s">
        <v>15</v>
      </c>
      <c r="D229" s="3" t="s">
        <v>231</v>
      </c>
      <c r="E229" s="5">
        <v>247.18</v>
      </c>
      <c r="F229" s="11" t="s">
        <v>40</v>
      </c>
      <c r="G229" s="11" t="s">
        <v>41</v>
      </c>
      <c r="H229" s="11" t="s">
        <v>41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 t="s">
        <v>33</v>
      </c>
      <c r="B230" s="4">
        <v>44646.0</v>
      </c>
      <c r="C230" s="3" t="s">
        <v>22</v>
      </c>
      <c r="D230" s="3" t="s">
        <v>232</v>
      </c>
      <c r="E230" s="5">
        <v>11.08</v>
      </c>
      <c r="F230" s="11" t="s">
        <v>40</v>
      </c>
      <c r="G230" s="11" t="s">
        <v>41</v>
      </c>
      <c r="H230" s="11" t="s">
        <v>40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 t="s">
        <v>141</v>
      </c>
      <c r="B231" s="4">
        <v>44646.0</v>
      </c>
      <c r="C231" s="3" t="s">
        <v>22</v>
      </c>
      <c r="D231" s="3" t="s">
        <v>233</v>
      </c>
      <c r="E231" s="5">
        <v>109.8</v>
      </c>
      <c r="F231" s="11" t="s">
        <v>40</v>
      </c>
      <c r="G231" s="11" t="s">
        <v>41</v>
      </c>
      <c r="H231" s="11" t="s">
        <v>40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 t="s">
        <v>33</v>
      </c>
      <c r="B232" s="4">
        <v>44646.0</v>
      </c>
      <c r="C232" s="3" t="s">
        <v>9</v>
      </c>
      <c r="D232" s="3" t="s">
        <v>234</v>
      </c>
      <c r="E232" s="5">
        <v>722.7</v>
      </c>
      <c r="F232" s="11" t="s">
        <v>41</v>
      </c>
      <c r="G232" s="11" t="s">
        <v>41</v>
      </c>
      <c r="H232" s="11" t="s">
        <v>41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 t="s">
        <v>141</v>
      </c>
      <c r="B233" s="4">
        <v>44649.0</v>
      </c>
      <c r="C233" s="3" t="s">
        <v>22</v>
      </c>
      <c r="D233" s="3" t="s">
        <v>235</v>
      </c>
      <c r="E233" s="5">
        <v>33.95</v>
      </c>
      <c r="F233" s="11" t="s">
        <v>41</v>
      </c>
      <c r="G233" s="11" t="s">
        <v>40</v>
      </c>
      <c r="H233" s="11" t="s">
        <v>41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 t="s">
        <v>33</v>
      </c>
      <c r="B234" s="4">
        <v>44649.0</v>
      </c>
      <c r="C234" s="3" t="s">
        <v>9</v>
      </c>
      <c r="D234" s="3" t="s">
        <v>236</v>
      </c>
      <c r="E234" s="5">
        <v>2098.38</v>
      </c>
      <c r="F234" s="11" t="s">
        <v>41</v>
      </c>
      <c r="G234" s="11" t="s">
        <v>41</v>
      </c>
      <c r="H234" s="11" t="s">
        <v>41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 t="s">
        <v>207</v>
      </c>
      <c r="B235" s="4">
        <v>44650.0</v>
      </c>
      <c r="C235" s="3" t="s">
        <v>9</v>
      </c>
      <c r="D235" s="3" t="s">
        <v>229</v>
      </c>
      <c r="E235" s="5">
        <v>3500.0</v>
      </c>
      <c r="F235" s="11" t="s">
        <v>40</v>
      </c>
      <c r="G235" s="11" t="s">
        <v>40</v>
      </c>
      <c r="H235" s="11" t="s">
        <v>41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 t="s">
        <v>33</v>
      </c>
      <c r="B236" s="4">
        <v>44650.0</v>
      </c>
      <c r="C236" s="3" t="s">
        <v>9</v>
      </c>
      <c r="D236" s="12" t="s">
        <v>237</v>
      </c>
      <c r="E236" s="5">
        <v>99.36</v>
      </c>
      <c r="F236" s="11" t="s">
        <v>41</v>
      </c>
      <c r="G236" s="11" t="s">
        <v>41</v>
      </c>
      <c r="H236" s="11" t="s">
        <v>41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 t="s">
        <v>207</v>
      </c>
      <c r="B237" s="4">
        <v>44651.0</v>
      </c>
      <c r="C237" s="3" t="s">
        <v>22</v>
      </c>
      <c r="D237" s="3" t="s">
        <v>238</v>
      </c>
      <c r="E237" s="5">
        <v>138.0</v>
      </c>
      <c r="F237" s="11" t="s">
        <v>40</v>
      </c>
      <c r="G237" s="11" t="s">
        <v>41</v>
      </c>
      <c r="H237" s="11" t="s">
        <v>41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 t="s">
        <v>141</v>
      </c>
      <c r="B238" s="4">
        <v>44652.0</v>
      </c>
      <c r="C238" s="3" t="s">
        <v>22</v>
      </c>
      <c r="D238" s="3" t="s">
        <v>239</v>
      </c>
      <c r="E238" s="5">
        <v>65.0</v>
      </c>
      <c r="F238" s="11" t="s">
        <v>41</v>
      </c>
      <c r="G238" s="11" t="s">
        <v>40</v>
      </c>
      <c r="H238" s="11" t="s">
        <v>41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 t="s">
        <v>207</v>
      </c>
      <c r="B239" s="4">
        <v>44652.0</v>
      </c>
      <c r="C239" s="3" t="s">
        <v>22</v>
      </c>
      <c r="D239" s="3" t="s">
        <v>240</v>
      </c>
      <c r="E239" s="5">
        <v>160.2</v>
      </c>
      <c r="F239" s="11" t="s">
        <v>41</v>
      </c>
      <c r="G239" s="11" t="s">
        <v>41</v>
      </c>
      <c r="H239" s="11" t="s">
        <v>41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 t="s">
        <v>8</v>
      </c>
      <c r="B240" s="4">
        <v>44652.0</v>
      </c>
      <c r="C240" s="3" t="s">
        <v>9</v>
      </c>
      <c r="D240" s="3" t="s">
        <v>241</v>
      </c>
      <c r="E240" s="5">
        <v>1200.0</v>
      </c>
      <c r="F240" s="11" t="s">
        <v>40</v>
      </c>
      <c r="G240" s="11" t="s">
        <v>40</v>
      </c>
      <c r="H240" s="11" t="s">
        <v>41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 t="s">
        <v>207</v>
      </c>
      <c r="B241" s="4">
        <v>44653.0</v>
      </c>
      <c r="C241" s="3" t="s">
        <v>15</v>
      </c>
      <c r="D241" s="3" t="s">
        <v>242</v>
      </c>
      <c r="E241" s="5">
        <v>770.36</v>
      </c>
      <c r="F241" s="11" t="s">
        <v>41</v>
      </c>
      <c r="G241" s="11" t="s">
        <v>41</v>
      </c>
      <c r="H241" s="11" t="s">
        <v>41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 t="s">
        <v>8</v>
      </c>
      <c r="B242" s="4">
        <v>44653.0</v>
      </c>
      <c r="C242" s="3" t="s">
        <v>9</v>
      </c>
      <c r="D242" s="3" t="s">
        <v>243</v>
      </c>
      <c r="E242" s="5">
        <v>319.0</v>
      </c>
      <c r="F242" s="11" t="s">
        <v>40</v>
      </c>
      <c r="G242" s="11" t="s">
        <v>40</v>
      </c>
      <c r="H242" s="11" t="s">
        <v>41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 t="s">
        <v>33</v>
      </c>
      <c r="B243" s="4">
        <v>44653.0</v>
      </c>
      <c r="C243" s="3" t="s">
        <v>9</v>
      </c>
      <c r="D243" s="3" t="s">
        <v>244</v>
      </c>
      <c r="E243" s="5">
        <v>1650.0</v>
      </c>
      <c r="F243" s="11" t="s">
        <v>40</v>
      </c>
      <c r="G243" s="11" t="s">
        <v>41</v>
      </c>
      <c r="H243" s="11" t="s">
        <v>41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 t="s">
        <v>33</v>
      </c>
      <c r="B244" s="4">
        <v>44653.0</v>
      </c>
      <c r="C244" s="3" t="s">
        <v>9</v>
      </c>
      <c r="D244" s="3" t="s">
        <v>245</v>
      </c>
      <c r="E244" s="5">
        <v>78.29</v>
      </c>
      <c r="F244" s="11" t="s">
        <v>40</v>
      </c>
      <c r="G244" s="11" t="s">
        <v>41</v>
      </c>
      <c r="H244" s="11" t="s">
        <v>41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 t="s">
        <v>141</v>
      </c>
      <c r="B245" s="4">
        <v>44653.0</v>
      </c>
      <c r="C245" s="3" t="s">
        <v>9</v>
      </c>
      <c r="D245" s="3" t="s">
        <v>246</v>
      </c>
      <c r="E245" s="5">
        <v>162.6</v>
      </c>
      <c r="F245" s="11" t="s">
        <v>40</v>
      </c>
      <c r="G245" s="11" t="s">
        <v>41</v>
      </c>
      <c r="H245" s="11" t="s">
        <v>41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 t="s">
        <v>207</v>
      </c>
      <c r="B246" s="4">
        <v>44653.0</v>
      </c>
      <c r="C246" s="3" t="s">
        <v>9</v>
      </c>
      <c r="D246" s="3" t="s">
        <v>213</v>
      </c>
      <c r="E246" s="5">
        <v>3000.0</v>
      </c>
      <c r="F246" s="11" t="s">
        <v>40</v>
      </c>
      <c r="G246" s="11" t="s">
        <v>40</v>
      </c>
      <c r="H246" s="11" t="s">
        <v>41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 t="s">
        <v>141</v>
      </c>
      <c r="B247" s="4">
        <v>44655.0</v>
      </c>
      <c r="C247" s="3" t="s">
        <v>9</v>
      </c>
      <c r="D247" s="3" t="s">
        <v>247</v>
      </c>
      <c r="E247" s="5">
        <v>829.84</v>
      </c>
      <c r="F247" s="11" t="s">
        <v>41</v>
      </c>
      <c r="G247" s="11" t="s">
        <v>41</v>
      </c>
      <c r="H247" s="11" t="s">
        <v>41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 t="s">
        <v>141</v>
      </c>
      <c r="B248" s="4">
        <v>44655.0</v>
      </c>
      <c r="C248" s="3" t="s">
        <v>9</v>
      </c>
      <c r="D248" s="3" t="s">
        <v>248</v>
      </c>
      <c r="E248" s="5">
        <v>2700.0</v>
      </c>
      <c r="F248" s="11" t="s">
        <v>41</v>
      </c>
      <c r="G248" s="11" t="s">
        <v>90</v>
      </c>
      <c r="H248" s="11" t="s">
        <v>41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 t="s">
        <v>159</v>
      </c>
      <c r="B249" s="4">
        <v>44655.0</v>
      </c>
      <c r="C249" s="3" t="s">
        <v>9</v>
      </c>
      <c r="D249" s="3" t="s">
        <v>249</v>
      </c>
      <c r="E249" s="5">
        <v>415.0</v>
      </c>
      <c r="F249" s="11" t="s">
        <v>41</v>
      </c>
      <c r="G249" s="11" t="s">
        <v>41</v>
      </c>
      <c r="H249" s="11" t="s">
        <v>41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 t="s">
        <v>141</v>
      </c>
      <c r="B250" s="4">
        <v>44657.0</v>
      </c>
      <c r="C250" s="3" t="s">
        <v>9</v>
      </c>
      <c r="D250" s="3" t="s">
        <v>250</v>
      </c>
      <c r="E250" s="5">
        <v>354.67</v>
      </c>
      <c r="F250" s="11" t="s">
        <v>41</v>
      </c>
      <c r="G250" s="11" t="s">
        <v>41</v>
      </c>
      <c r="H250" s="11" t="s">
        <v>41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 t="s">
        <v>141</v>
      </c>
      <c r="B251" s="4">
        <v>44658.0</v>
      </c>
      <c r="C251" s="3" t="s">
        <v>22</v>
      </c>
      <c r="D251" s="3" t="s">
        <v>251</v>
      </c>
      <c r="E251" s="5">
        <v>114.0</v>
      </c>
      <c r="F251" s="11" t="s">
        <v>41</v>
      </c>
      <c r="G251" s="11" t="s">
        <v>40</v>
      </c>
      <c r="H251" s="11" t="s">
        <v>41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 t="s">
        <v>207</v>
      </c>
      <c r="B252" s="4">
        <v>44658.0</v>
      </c>
      <c r="C252" s="3" t="s">
        <v>15</v>
      </c>
      <c r="D252" s="3" t="s">
        <v>252</v>
      </c>
      <c r="E252" s="5">
        <v>441.0</v>
      </c>
      <c r="F252" s="11" t="s">
        <v>40</v>
      </c>
      <c r="G252" s="11" t="s">
        <v>40</v>
      </c>
      <c r="H252" s="11" t="s">
        <v>41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 t="s">
        <v>141</v>
      </c>
      <c r="B253" s="4">
        <v>44659.0</v>
      </c>
      <c r="C253" s="3" t="s">
        <v>9</v>
      </c>
      <c r="D253" s="3" t="s">
        <v>230</v>
      </c>
      <c r="E253" s="5">
        <v>7000.0</v>
      </c>
      <c r="F253" s="11" t="s">
        <v>40</v>
      </c>
      <c r="G253" s="11" t="s">
        <v>40</v>
      </c>
      <c r="H253" s="11" t="s">
        <v>41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 t="s">
        <v>159</v>
      </c>
      <c r="B254" s="4">
        <v>44660.0</v>
      </c>
      <c r="C254" s="3" t="s">
        <v>9</v>
      </c>
      <c r="D254" s="3" t="s">
        <v>253</v>
      </c>
      <c r="E254" s="5">
        <v>2000.0</v>
      </c>
      <c r="F254" s="11" t="s">
        <v>41</v>
      </c>
      <c r="G254" s="11" t="s">
        <v>90</v>
      </c>
      <c r="H254" s="11" t="s">
        <v>41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 t="s">
        <v>25</v>
      </c>
      <c r="B255" s="4">
        <v>44660.0</v>
      </c>
      <c r="C255" s="3" t="s">
        <v>9</v>
      </c>
      <c r="D255" s="3" t="s">
        <v>254</v>
      </c>
      <c r="E255" s="5">
        <v>22.0</v>
      </c>
      <c r="F255" s="11" t="s">
        <v>41</v>
      </c>
      <c r="G255" s="11" t="s">
        <v>41</v>
      </c>
      <c r="H255" s="11" t="s">
        <v>41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 t="s">
        <v>159</v>
      </c>
      <c r="B256" s="4">
        <v>44660.0</v>
      </c>
      <c r="C256" s="3" t="s">
        <v>9</v>
      </c>
      <c r="D256" s="3" t="s">
        <v>255</v>
      </c>
      <c r="E256" s="5">
        <v>614.27</v>
      </c>
      <c r="F256" s="11" t="s">
        <v>40</v>
      </c>
      <c r="G256" s="11" t="s">
        <v>41</v>
      </c>
      <c r="H256" s="11" t="s">
        <v>41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 t="s">
        <v>207</v>
      </c>
      <c r="B257" s="4">
        <v>44660.0</v>
      </c>
      <c r="C257" s="3" t="s">
        <v>9</v>
      </c>
      <c r="D257" s="3" t="s">
        <v>213</v>
      </c>
      <c r="E257" s="5">
        <v>3000.0</v>
      </c>
      <c r="F257" s="11" t="s">
        <v>40</v>
      </c>
      <c r="G257" s="11" t="s">
        <v>40</v>
      </c>
      <c r="H257" s="11" t="s">
        <v>41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 t="s">
        <v>8</v>
      </c>
      <c r="B258" s="4">
        <v>44660.0</v>
      </c>
      <c r="C258" s="3" t="s">
        <v>9</v>
      </c>
      <c r="D258" s="3" t="s">
        <v>256</v>
      </c>
      <c r="E258" s="5">
        <v>164.1</v>
      </c>
      <c r="F258" s="11" t="s">
        <v>40</v>
      </c>
      <c r="G258" s="11" t="s">
        <v>40</v>
      </c>
      <c r="H258" s="11" t="s">
        <v>41</v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 t="s">
        <v>33</v>
      </c>
      <c r="B259" s="4">
        <v>44660.0</v>
      </c>
      <c r="C259" s="3" t="s">
        <v>9</v>
      </c>
      <c r="D259" s="3" t="s">
        <v>257</v>
      </c>
      <c r="E259" s="5">
        <v>6000.0</v>
      </c>
      <c r="F259" s="11" t="s">
        <v>40</v>
      </c>
      <c r="G259" s="15" t="s">
        <v>40</v>
      </c>
      <c r="H259" s="15" t="s">
        <v>41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 t="s">
        <v>27</v>
      </c>
      <c r="B260" s="4">
        <v>44661.0</v>
      </c>
      <c r="C260" s="3" t="s">
        <v>9</v>
      </c>
      <c r="D260" s="3" t="s">
        <v>258</v>
      </c>
      <c r="E260" s="5">
        <v>91.83</v>
      </c>
      <c r="F260" s="11" t="s">
        <v>41</v>
      </c>
      <c r="G260" s="11" t="s">
        <v>40</v>
      </c>
      <c r="H260" s="11" t="s">
        <v>41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 t="s">
        <v>27</v>
      </c>
      <c r="B261" s="4">
        <v>44661.0</v>
      </c>
      <c r="C261" s="3" t="s">
        <v>22</v>
      </c>
      <c r="D261" s="3" t="s">
        <v>108</v>
      </c>
      <c r="E261" s="5">
        <v>184.8</v>
      </c>
      <c r="F261" s="11" t="s">
        <v>40</v>
      </c>
      <c r="G261" s="11" t="s">
        <v>40</v>
      </c>
      <c r="H261" s="11" t="s">
        <v>41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 t="s">
        <v>27</v>
      </c>
      <c r="B262" s="4">
        <v>44661.0</v>
      </c>
      <c r="C262" s="3" t="s">
        <v>9</v>
      </c>
      <c r="D262" s="3" t="s">
        <v>259</v>
      </c>
      <c r="E262" s="5">
        <v>90.45</v>
      </c>
      <c r="F262" s="11" t="s">
        <v>40</v>
      </c>
      <c r="G262" s="11" t="s">
        <v>40</v>
      </c>
      <c r="H262" s="11" t="s">
        <v>41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 t="s">
        <v>207</v>
      </c>
      <c r="B263" s="4">
        <v>44662.0</v>
      </c>
      <c r="C263" s="3" t="s">
        <v>22</v>
      </c>
      <c r="D263" s="3" t="s">
        <v>260</v>
      </c>
      <c r="E263" s="5">
        <v>287.35</v>
      </c>
      <c r="F263" s="11" t="s">
        <v>41</v>
      </c>
      <c r="G263" s="11" t="s">
        <v>41</v>
      </c>
      <c r="H263" s="11" t="s">
        <v>41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 t="s">
        <v>207</v>
      </c>
      <c r="B264" s="4">
        <v>44662.0</v>
      </c>
      <c r="C264" s="3" t="s">
        <v>22</v>
      </c>
      <c r="D264" s="3" t="s">
        <v>261</v>
      </c>
      <c r="E264" s="5">
        <v>117.5</v>
      </c>
      <c r="F264" s="11" t="s">
        <v>41</v>
      </c>
      <c r="G264" s="11" t="s">
        <v>40</v>
      </c>
      <c r="H264" s="11" t="s">
        <v>41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 t="s">
        <v>8</v>
      </c>
      <c r="B265" s="4">
        <v>44667.0</v>
      </c>
      <c r="C265" s="3" t="s">
        <v>9</v>
      </c>
      <c r="D265" s="3" t="s">
        <v>262</v>
      </c>
      <c r="E265" s="5">
        <v>28.0</v>
      </c>
      <c r="F265" s="11" t="s">
        <v>40</v>
      </c>
      <c r="G265" s="11" t="s">
        <v>40</v>
      </c>
      <c r="H265" s="11" t="s">
        <v>41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 t="s">
        <v>61</v>
      </c>
      <c r="B266" s="4">
        <v>44667.0</v>
      </c>
      <c r="C266" s="3" t="s">
        <v>15</v>
      </c>
      <c r="D266" s="3" t="s">
        <v>263</v>
      </c>
      <c r="E266" s="5">
        <v>1500.0</v>
      </c>
      <c r="F266" s="11" t="s">
        <v>40</v>
      </c>
      <c r="G266" s="11" t="s">
        <v>40</v>
      </c>
      <c r="H266" s="11" t="s">
        <v>41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 t="s">
        <v>207</v>
      </c>
      <c r="B267" s="4">
        <v>44669.0</v>
      </c>
      <c r="C267" s="3" t="s">
        <v>15</v>
      </c>
      <c r="D267" s="3" t="s">
        <v>264</v>
      </c>
      <c r="E267" s="5">
        <v>340.0</v>
      </c>
      <c r="F267" s="11" t="s">
        <v>40</v>
      </c>
      <c r="G267" s="11" t="s">
        <v>41</v>
      </c>
      <c r="H267" s="11" t="s">
        <v>41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 t="s">
        <v>207</v>
      </c>
      <c r="B268" s="4">
        <v>44671.0</v>
      </c>
      <c r="C268" s="3" t="s">
        <v>15</v>
      </c>
      <c r="D268" s="3" t="s">
        <v>265</v>
      </c>
      <c r="E268" s="5">
        <v>229.88</v>
      </c>
      <c r="F268" s="11" t="s">
        <v>41</v>
      </c>
      <c r="G268" s="11" t="s">
        <v>41</v>
      </c>
      <c r="H268" s="11" t="s">
        <v>41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 t="s">
        <v>141</v>
      </c>
      <c r="B269" s="4">
        <v>44671.0</v>
      </c>
      <c r="C269" s="3" t="s">
        <v>9</v>
      </c>
      <c r="D269" s="3" t="s">
        <v>230</v>
      </c>
      <c r="E269" s="5">
        <v>3000.0</v>
      </c>
      <c r="F269" s="11" t="s">
        <v>40</v>
      </c>
      <c r="G269" s="11" t="s">
        <v>40</v>
      </c>
      <c r="H269" s="11" t="s">
        <v>41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 t="s">
        <v>159</v>
      </c>
      <c r="B270" s="4">
        <v>44674.0</v>
      </c>
      <c r="C270" s="3" t="s">
        <v>15</v>
      </c>
      <c r="D270" s="3" t="s">
        <v>266</v>
      </c>
      <c r="E270" s="5">
        <v>950.0</v>
      </c>
      <c r="F270" s="11" t="s">
        <v>40</v>
      </c>
      <c r="G270" s="11" t="s">
        <v>40</v>
      </c>
      <c r="H270" s="11" t="s">
        <v>41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 t="s">
        <v>181</v>
      </c>
      <c r="B271" s="4">
        <v>44676.0</v>
      </c>
      <c r="C271" s="3" t="s">
        <v>22</v>
      </c>
      <c r="D271" s="3" t="s">
        <v>267</v>
      </c>
      <c r="E271" s="5">
        <v>3040.84</v>
      </c>
      <c r="F271" s="11" t="s">
        <v>41</v>
      </c>
      <c r="G271" s="11" t="s">
        <v>90</v>
      </c>
      <c r="H271" s="11" t="s">
        <v>41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 t="s">
        <v>141</v>
      </c>
      <c r="B272" s="4">
        <v>44678.0</v>
      </c>
      <c r="C272" s="3" t="s">
        <v>15</v>
      </c>
      <c r="D272" s="3" t="s">
        <v>268</v>
      </c>
      <c r="E272" s="5">
        <v>1000.0</v>
      </c>
      <c r="F272" s="11" t="s">
        <v>40</v>
      </c>
      <c r="G272" s="11" t="s">
        <v>40</v>
      </c>
      <c r="H272" s="11" t="s">
        <v>41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 t="s">
        <v>159</v>
      </c>
      <c r="B273" s="4">
        <v>44678.0</v>
      </c>
      <c r="C273" s="3" t="s">
        <v>9</v>
      </c>
      <c r="D273" s="3" t="s">
        <v>269</v>
      </c>
      <c r="E273" s="5">
        <v>8600.0</v>
      </c>
      <c r="F273" s="11" t="s">
        <v>90</v>
      </c>
      <c r="G273" s="11" t="s">
        <v>90</v>
      </c>
      <c r="H273" s="11" t="s">
        <v>41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 t="s">
        <v>207</v>
      </c>
      <c r="B274" s="4">
        <v>44678.0</v>
      </c>
      <c r="C274" s="3" t="s">
        <v>15</v>
      </c>
      <c r="D274" s="3" t="s">
        <v>270</v>
      </c>
      <c r="E274" s="5">
        <v>428.9</v>
      </c>
      <c r="F274" s="11" t="s">
        <v>40</v>
      </c>
      <c r="G274" s="11" t="s">
        <v>41</v>
      </c>
      <c r="H274" s="11" t="s">
        <v>41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 t="s">
        <v>207</v>
      </c>
      <c r="B275" s="4">
        <v>44679.0</v>
      </c>
      <c r="C275" s="3" t="s">
        <v>15</v>
      </c>
      <c r="D275" s="3" t="s">
        <v>271</v>
      </c>
      <c r="E275" s="5">
        <v>194.2</v>
      </c>
      <c r="F275" s="11" t="s">
        <v>41</v>
      </c>
      <c r="G275" s="11" t="s">
        <v>41</v>
      </c>
      <c r="H275" s="11" t="s">
        <v>41</v>
      </c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 t="s">
        <v>207</v>
      </c>
      <c r="B276" s="4">
        <v>44683.0</v>
      </c>
      <c r="C276" s="3" t="s">
        <v>15</v>
      </c>
      <c r="D276" s="3" t="s">
        <v>272</v>
      </c>
      <c r="E276" s="5">
        <v>461.64</v>
      </c>
      <c r="F276" s="11" t="s">
        <v>41</v>
      </c>
      <c r="G276" s="11" t="s">
        <v>41</v>
      </c>
      <c r="H276" s="11" t="s">
        <v>41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 t="s">
        <v>207</v>
      </c>
      <c r="B277" s="4">
        <v>44684.0</v>
      </c>
      <c r="C277" s="3" t="s">
        <v>9</v>
      </c>
      <c r="D277" s="3" t="s">
        <v>213</v>
      </c>
      <c r="E277" s="5">
        <v>3000.0</v>
      </c>
      <c r="F277" s="11" t="s">
        <v>40</v>
      </c>
      <c r="G277" s="11" t="s">
        <v>40</v>
      </c>
      <c r="H277" s="11" t="s">
        <v>41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 t="s">
        <v>141</v>
      </c>
      <c r="B278" s="4">
        <v>44684.0</v>
      </c>
      <c r="C278" s="3" t="s">
        <v>15</v>
      </c>
      <c r="D278" s="3" t="s">
        <v>273</v>
      </c>
      <c r="E278" s="5">
        <v>800.0</v>
      </c>
      <c r="F278" s="11" t="s">
        <v>40</v>
      </c>
      <c r="G278" s="11" t="s">
        <v>40</v>
      </c>
      <c r="H278" s="11" t="s">
        <v>41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 t="s">
        <v>166</v>
      </c>
      <c r="B279" s="4">
        <v>44684.0</v>
      </c>
      <c r="C279" s="3" t="s">
        <v>9</v>
      </c>
      <c r="D279" s="3" t="s">
        <v>274</v>
      </c>
      <c r="E279" s="5">
        <v>2775.0</v>
      </c>
      <c r="F279" s="11" t="s">
        <v>41</v>
      </c>
      <c r="G279" s="11" t="s">
        <v>40</v>
      </c>
      <c r="H279" s="11" t="s">
        <v>41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 t="s">
        <v>159</v>
      </c>
      <c r="B280" s="4">
        <v>44685.0</v>
      </c>
      <c r="C280" s="3" t="s">
        <v>15</v>
      </c>
      <c r="D280" s="3" t="s">
        <v>275</v>
      </c>
      <c r="E280" s="5">
        <v>320.0</v>
      </c>
      <c r="F280" s="11" t="s">
        <v>40</v>
      </c>
      <c r="G280" s="11" t="s">
        <v>40</v>
      </c>
      <c r="H280" s="11" t="s">
        <v>41</v>
      </c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 t="s">
        <v>166</v>
      </c>
      <c r="B281" s="4">
        <v>44687.0</v>
      </c>
      <c r="C281" s="3" t="s">
        <v>9</v>
      </c>
      <c r="D281" s="3" t="s">
        <v>276</v>
      </c>
      <c r="E281" s="5">
        <v>8550.0</v>
      </c>
      <c r="F281" s="11" t="s">
        <v>40</v>
      </c>
      <c r="G281" s="11" t="s">
        <v>40</v>
      </c>
      <c r="H281" s="11" t="s">
        <v>41</v>
      </c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 t="s">
        <v>33</v>
      </c>
      <c r="B282" s="4">
        <v>44687.0</v>
      </c>
      <c r="C282" s="3" t="s">
        <v>22</v>
      </c>
      <c r="D282" s="3" t="s">
        <v>277</v>
      </c>
      <c r="E282" s="5">
        <v>200.0</v>
      </c>
      <c r="F282" s="11" t="s">
        <v>40</v>
      </c>
      <c r="G282" s="11" t="s">
        <v>40</v>
      </c>
      <c r="H282" s="11" t="s">
        <v>41</v>
      </c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 t="s">
        <v>278</v>
      </c>
      <c r="B283" s="4">
        <v>44687.0</v>
      </c>
      <c r="C283" s="3" t="s">
        <v>22</v>
      </c>
      <c r="D283" s="3" t="s">
        <v>279</v>
      </c>
      <c r="E283" s="5">
        <v>200.0</v>
      </c>
      <c r="F283" s="11" t="s">
        <v>40</v>
      </c>
      <c r="G283" s="11" t="s">
        <v>40</v>
      </c>
      <c r="H283" s="11" t="s">
        <v>41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 t="s">
        <v>33</v>
      </c>
      <c r="B284" s="4">
        <v>44688.0</v>
      </c>
      <c r="C284" s="3" t="s">
        <v>22</v>
      </c>
      <c r="D284" s="3" t="s">
        <v>280</v>
      </c>
      <c r="E284" s="5">
        <v>86.0</v>
      </c>
      <c r="F284" s="11" t="s">
        <v>40</v>
      </c>
      <c r="G284" s="11" t="s">
        <v>40</v>
      </c>
      <c r="H284" s="11" t="s">
        <v>41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 t="s">
        <v>207</v>
      </c>
      <c r="B285" s="4">
        <v>44690.0</v>
      </c>
      <c r="C285" s="3" t="s">
        <v>15</v>
      </c>
      <c r="D285" s="3" t="s">
        <v>281</v>
      </c>
      <c r="E285" s="5">
        <v>2080.0</v>
      </c>
      <c r="F285" s="11" t="s">
        <v>41</v>
      </c>
      <c r="G285" s="11" t="s">
        <v>90</v>
      </c>
      <c r="H285" s="11" t="s">
        <v>41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 t="s">
        <v>27</v>
      </c>
      <c r="B286" s="4">
        <v>44691.0</v>
      </c>
      <c r="C286" s="3" t="s">
        <v>22</v>
      </c>
      <c r="D286" s="3" t="s">
        <v>108</v>
      </c>
      <c r="E286" s="5">
        <v>182.75</v>
      </c>
      <c r="F286" s="11" t="s">
        <v>41</v>
      </c>
      <c r="G286" s="11" t="s">
        <v>40</v>
      </c>
      <c r="H286" s="11" t="s">
        <v>41</v>
      </c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 t="s">
        <v>33</v>
      </c>
      <c r="B287" s="4">
        <v>44693.0</v>
      </c>
      <c r="C287" s="3" t="s">
        <v>9</v>
      </c>
      <c r="D287" s="3" t="s">
        <v>282</v>
      </c>
      <c r="E287" s="5">
        <v>124.0</v>
      </c>
      <c r="F287" s="11" t="s">
        <v>41</v>
      </c>
      <c r="G287" s="11" t="s">
        <v>41</v>
      </c>
      <c r="H287" s="11" t="s">
        <v>41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 t="s">
        <v>33</v>
      </c>
      <c r="B288" s="4">
        <v>44693.0</v>
      </c>
      <c r="C288" s="3" t="s">
        <v>9</v>
      </c>
      <c r="D288" s="3" t="s">
        <v>283</v>
      </c>
      <c r="E288" s="5">
        <v>48.6</v>
      </c>
      <c r="F288" s="11" t="s">
        <v>41</v>
      </c>
      <c r="G288" s="11" t="s">
        <v>41</v>
      </c>
      <c r="H288" s="11" t="s">
        <v>41</v>
      </c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 t="s">
        <v>33</v>
      </c>
      <c r="B289" s="4">
        <v>44695.0</v>
      </c>
      <c r="C289" s="3" t="s">
        <v>9</v>
      </c>
      <c r="D289" s="3" t="s">
        <v>284</v>
      </c>
      <c r="E289" s="5">
        <v>65.86</v>
      </c>
      <c r="F289" s="11" t="s">
        <v>40</v>
      </c>
      <c r="G289" s="11" t="s">
        <v>41</v>
      </c>
      <c r="H289" s="11" t="s">
        <v>41</v>
      </c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 t="s">
        <v>33</v>
      </c>
      <c r="B290" s="4">
        <v>44697.0</v>
      </c>
      <c r="C290" s="3" t="s">
        <v>22</v>
      </c>
      <c r="D290" s="3" t="s">
        <v>285</v>
      </c>
      <c r="E290" s="5">
        <v>18.9</v>
      </c>
      <c r="F290" s="11" t="s">
        <v>40</v>
      </c>
      <c r="G290" s="11" t="s">
        <v>40</v>
      </c>
      <c r="H290" s="11" t="s">
        <v>41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 t="s">
        <v>207</v>
      </c>
      <c r="B291" s="4">
        <v>44697.0</v>
      </c>
      <c r="C291" s="3" t="s">
        <v>22</v>
      </c>
      <c r="D291" s="3" t="s">
        <v>286</v>
      </c>
      <c r="E291" s="5">
        <v>700.0</v>
      </c>
      <c r="F291" s="11" t="s">
        <v>40</v>
      </c>
      <c r="G291" s="11" t="s">
        <v>40</v>
      </c>
      <c r="H291" s="11" t="s">
        <v>41</v>
      </c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 t="s">
        <v>207</v>
      </c>
      <c r="B292" s="4">
        <v>44699.0</v>
      </c>
      <c r="C292" s="3" t="s">
        <v>22</v>
      </c>
      <c r="D292" s="3" t="s">
        <v>287</v>
      </c>
      <c r="E292" s="5">
        <v>30.0</v>
      </c>
      <c r="F292" s="11" t="s">
        <v>41</v>
      </c>
      <c r="G292" s="11" t="s">
        <v>41</v>
      </c>
      <c r="H292" s="11" t="s">
        <v>41</v>
      </c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 t="s">
        <v>207</v>
      </c>
      <c r="B293" s="4">
        <v>44700.0</v>
      </c>
      <c r="C293" s="3" t="s">
        <v>22</v>
      </c>
      <c r="D293" s="3" t="s">
        <v>288</v>
      </c>
      <c r="E293" s="5">
        <v>39.0</v>
      </c>
      <c r="F293" s="11" t="s">
        <v>41</v>
      </c>
      <c r="G293" s="11" t="s">
        <v>41</v>
      </c>
      <c r="H293" s="11" t="s">
        <v>41</v>
      </c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 t="s">
        <v>141</v>
      </c>
      <c r="B294" s="4">
        <v>44700.0</v>
      </c>
      <c r="C294" s="3" t="s">
        <v>22</v>
      </c>
      <c r="D294" s="3" t="s">
        <v>289</v>
      </c>
      <c r="E294" s="5">
        <v>550.0</v>
      </c>
      <c r="F294" s="11" t="s">
        <v>40</v>
      </c>
      <c r="G294" s="11" t="s">
        <v>41</v>
      </c>
      <c r="H294" s="11" t="s">
        <v>41</v>
      </c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 t="s">
        <v>141</v>
      </c>
      <c r="B295" s="4">
        <v>44700.0</v>
      </c>
      <c r="C295" s="3" t="s">
        <v>22</v>
      </c>
      <c r="D295" s="3" t="s">
        <v>290</v>
      </c>
      <c r="E295" s="5">
        <v>608.0</v>
      </c>
      <c r="F295" s="11" t="s">
        <v>41</v>
      </c>
      <c r="G295" s="11" t="s">
        <v>40</v>
      </c>
      <c r="H295" s="11" t="s">
        <v>41</v>
      </c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 t="s">
        <v>8</v>
      </c>
      <c r="B296" s="4">
        <v>44702.0</v>
      </c>
      <c r="C296" s="3" t="s">
        <v>9</v>
      </c>
      <c r="D296" s="3" t="s">
        <v>291</v>
      </c>
      <c r="E296" s="5">
        <v>164.0</v>
      </c>
      <c r="F296" s="11" t="s">
        <v>40</v>
      </c>
      <c r="G296" s="11" t="s">
        <v>40</v>
      </c>
      <c r="H296" s="11" t="s">
        <v>41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 t="s">
        <v>141</v>
      </c>
      <c r="B297" s="4">
        <v>44702.0</v>
      </c>
      <c r="C297" s="3" t="s">
        <v>22</v>
      </c>
      <c r="D297" s="3" t="s">
        <v>292</v>
      </c>
      <c r="E297" s="5">
        <v>100.0</v>
      </c>
      <c r="F297" s="11" t="s">
        <v>40</v>
      </c>
      <c r="G297" s="11" t="s">
        <v>40</v>
      </c>
      <c r="H297" s="11" t="s">
        <v>41</v>
      </c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 t="s">
        <v>207</v>
      </c>
      <c r="B298" s="4">
        <v>44702.0</v>
      </c>
      <c r="C298" s="3" t="s">
        <v>22</v>
      </c>
      <c r="D298" s="3" t="s">
        <v>293</v>
      </c>
      <c r="E298" s="5">
        <v>187.9</v>
      </c>
      <c r="F298" s="11" t="s">
        <v>41</v>
      </c>
      <c r="G298" s="11" t="s">
        <v>41</v>
      </c>
      <c r="H298" s="11" t="s">
        <v>41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 t="s">
        <v>141</v>
      </c>
      <c r="B299" s="4">
        <v>44705.0</v>
      </c>
      <c r="C299" s="3" t="s">
        <v>22</v>
      </c>
      <c r="D299" s="3" t="s">
        <v>294</v>
      </c>
      <c r="E299" s="5">
        <v>114.0</v>
      </c>
      <c r="F299" s="11" t="s">
        <v>41</v>
      </c>
      <c r="G299" s="11" t="s">
        <v>40</v>
      </c>
      <c r="H299" s="11" t="s">
        <v>41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 t="s">
        <v>27</v>
      </c>
      <c r="B300" s="4">
        <v>44705.0</v>
      </c>
      <c r="C300" s="3" t="s">
        <v>9</v>
      </c>
      <c r="D300" s="3" t="s">
        <v>295</v>
      </c>
      <c r="E300" s="5">
        <v>52.52</v>
      </c>
      <c r="F300" s="11" t="s">
        <v>41</v>
      </c>
      <c r="G300" s="11" t="s">
        <v>40</v>
      </c>
      <c r="H300" s="11" t="s">
        <v>41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 t="s">
        <v>27</v>
      </c>
      <c r="B301" s="4">
        <v>44705.0</v>
      </c>
      <c r="C301" s="3" t="s">
        <v>9</v>
      </c>
      <c r="D301" s="3" t="s">
        <v>296</v>
      </c>
      <c r="E301" s="5">
        <v>56.55</v>
      </c>
      <c r="F301" s="11" t="s">
        <v>41</v>
      </c>
      <c r="G301" s="11" t="s">
        <v>40</v>
      </c>
      <c r="H301" s="11" t="s">
        <v>41</v>
      </c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 t="s">
        <v>141</v>
      </c>
      <c r="B302" s="4">
        <v>44706.0</v>
      </c>
      <c r="C302" s="3" t="s">
        <v>15</v>
      </c>
      <c r="D302" s="3" t="s">
        <v>297</v>
      </c>
      <c r="E302" s="5">
        <v>5660.0</v>
      </c>
      <c r="F302" s="11" t="s">
        <v>40</v>
      </c>
      <c r="G302" s="11" t="s">
        <v>40</v>
      </c>
      <c r="H302" s="11" t="s">
        <v>41</v>
      </c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16" t="s">
        <v>25</v>
      </c>
      <c r="B303" s="17">
        <v>44709.0</v>
      </c>
      <c r="C303" s="16" t="s">
        <v>9</v>
      </c>
      <c r="D303" s="16" t="s">
        <v>254</v>
      </c>
      <c r="E303" s="18">
        <v>44.5</v>
      </c>
      <c r="F303" s="10" t="s">
        <v>40</v>
      </c>
      <c r="G303" s="10" t="s">
        <v>40</v>
      </c>
      <c r="H303" s="10" t="s">
        <v>41</v>
      </c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16" t="s">
        <v>33</v>
      </c>
      <c r="B304" s="17">
        <v>44709.0</v>
      </c>
      <c r="C304" s="16" t="s">
        <v>9</v>
      </c>
      <c r="D304" s="16" t="s">
        <v>298</v>
      </c>
      <c r="E304" s="18">
        <v>4.6</v>
      </c>
      <c r="F304" s="10" t="s">
        <v>40</v>
      </c>
      <c r="G304" s="10" t="s">
        <v>41</v>
      </c>
      <c r="H304" s="10" t="s">
        <v>41</v>
      </c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16" t="s">
        <v>33</v>
      </c>
      <c r="B305" s="17">
        <v>44709.0</v>
      </c>
      <c r="C305" s="16" t="s">
        <v>9</v>
      </c>
      <c r="D305" s="16" t="s">
        <v>299</v>
      </c>
      <c r="E305" s="18">
        <v>1000.0</v>
      </c>
      <c r="F305" s="10" t="s">
        <v>40</v>
      </c>
      <c r="G305" s="10" t="s">
        <v>40</v>
      </c>
      <c r="H305" s="10" t="s">
        <v>41</v>
      </c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16" t="s">
        <v>33</v>
      </c>
      <c r="B306" s="17">
        <v>44709.0</v>
      </c>
      <c r="C306" s="16" t="s">
        <v>9</v>
      </c>
      <c r="D306" s="16" t="s">
        <v>300</v>
      </c>
      <c r="E306" s="18">
        <v>500.0</v>
      </c>
      <c r="F306" s="10" t="s">
        <v>40</v>
      </c>
      <c r="G306" s="10" t="s">
        <v>40</v>
      </c>
      <c r="H306" s="10" t="s">
        <v>41</v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16" t="s">
        <v>207</v>
      </c>
      <c r="B307" s="17">
        <v>44711.0</v>
      </c>
      <c r="C307" s="16" t="s">
        <v>22</v>
      </c>
      <c r="D307" s="16" t="s">
        <v>301</v>
      </c>
      <c r="E307" s="18">
        <v>201.6</v>
      </c>
      <c r="F307" s="10" t="s">
        <v>41</v>
      </c>
      <c r="G307" s="10" t="s">
        <v>90</v>
      </c>
      <c r="H307" s="10" t="s">
        <v>41</v>
      </c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16" t="s">
        <v>33</v>
      </c>
      <c r="B308" s="17">
        <v>44713.0</v>
      </c>
      <c r="C308" s="16" t="s">
        <v>15</v>
      </c>
      <c r="D308" s="16" t="s">
        <v>302</v>
      </c>
      <c r="E308" s="18">
        <v>200.0</v>
      </c>
      <c r="F308" s="10" t="s">
        <v>40</v>
      </c>
      <c r="G308" s="10" t="s">
        <v>40</v>
      </c>
      <c r="H308" s="10" t="s">
        <v>41</v>
      </c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16" t="s">
        <v>181</v>
      </c>
      <c r="B309" s="17">
        <v>44713.0</v>
      </c>
      <c r="C309" s="16" t="s">
        <v>15</v>
      </c>
      <c r="D309" s="16" t="s">
        <v>303</v>
      </c>
      <c r="E309" s="18">
        <v>1347.0</v>
      </c>
      <c r="F309" s="10" t="s">
        <v>40</v>
      </c>
      <c r="G309" s="10" t="s">
        <v>41</v>
      </c>
      <c r="H309" s="10" t="s">
        <v>41</v>
      </c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16" t="s">
        <v>207</v>
      </c>
      <c r="B310" s="17">
        <v>44714.0</v>
      </c>
      <c r="C310" s="16" t="s">
        <v>15</v>
      </c>
      <c r="D310" s="16" t="s">
        <v>304</v>
      </c>
      <c r="E310" s="18">
        <v>396.21</v>
      </c>
      <c r="F310" s="10" t="s">
        <v>40</v>
      </c>
      <c r="G310" s="10" t="s">
        <v>90</v>
      </c>
      <c r="H310" s="10" t="s">
        <v>41</v>
      </c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16" t="s">
        <v>207</v>
      </c>
      <c r="B311" s="17">
        <v>44716.0</v>
      </c>
      <c r="C311" s="16" t="s">
        <v>9</v>
      </c>
      <c r="D311" s="16" t="s">
        <v>213</v>
      </c>
      <c r="E311" s="18">
        <v>1500.0</v>
      </c>
      <c r="F311" s="10" t="s">
        <v>40</v>
      </c>
      <c r="G311" s="10" t="s">
        <v>40</v>
      </c>
      <c r="H311" s="10" t="s">
        <v>41</v>
      </c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 t="s">
        <v>305</v>
      </c>
      <c r="B312" s="4">
        <v>44719.0</v>
      </c>
      <c r="C312" s="3" t="s">
        <v>22</v>
      </c>
      <c r="D312" s="3" t="s">
        <v>306</v>
      </c>
      <c r="E312" s="5">
        <v>50.0</v>
      </c>
      <c r="F312" s="11" t="s">
        <v>40</v>
      </c>
      <c r="G312" s="11" t="s">
        <v>40</v>
      </c>
      <c r="H312" s="11" t="s">
        <v>41</v>
      </c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 t="s">
        <v>27</v>
      </c>
      <c r="B313" s="4">
        <v>44722.0</v>
      </c>
      <c r="C313" s="3" t="s">
        <v>22</v>
      </c>
      <c r="D313" s="3" t="s">
        <v>108</v>
      </c>
      <c r="E313" s="5">
        <v>182.75</v>
      </c>
      <c r="F313" s="11" t="s">
        <v>41</v>
      </c>
      <c r="G313" s="11" t="s">
        <v>40</v>
      </c>
      <c r="H313" s="11" t="s">
        <v>41</v>
      </c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 t="s">
        <v>305</v>
      </c>
      <c r="B314" s="4">
        <v>44728.0</v>
      </c>
      <c r="C314" s="3" t="s">
        <v>15</v>
      </c>
      <c r="D314" s="3" t="s">
        <v>307</v>
      </c>
      <c r="E314" s="5">
        <v>1200.0</v>
      </c>
      <c r="F314" s="11" t="s">
        <v>40</v>
      </c>
      <c r="G314" s="11" t="s">
        <v>40</v>
      </c>
      <c r="H314" s="11" t="s">
        <v>41</v>
      </c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 t="s">
        <v>207</v>
      </c>
      <c r="B315" s="4">
        <v>44734.0</v>
      </c>
      <c r="C315" s="3" t="s">
        <v>15</v>
      </c>
      <c r="D315" s="3" t="s">
        <v>213</v>
      </c>
      <c r="E315" s="5">
        <v>1500.0</v>
      </c>
      <c r="F315" s="11" t="s">
        <v>40</v>
      </c>
      <c r="G315" s="11" t="s">
        <v>40</v>
      </c>
      <c r="H315" s="11" t="s">
        <v>41</v>
      </c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 t="s">
        <v>207</v>
      </c>
      <c r="B316" s="4">
        <v>44740.0</v>
      </c>
      <c r="C316" s="3" t="s">
        <v>22</v>
      </c>
      <c r="D316" s="3" t="s">
        <v>308</v>
      </c>
      <c r="E316" s="5">
        <v>372.8</v>
      </c>
      <c r="F316" s="11" t="s">
        <v>41</v>
      </c>
      <c r="G316" s="11" t="s">
        <v>90</v>
      </c>
      <c r="H316" s="11" t="s">
        <v>41</v>
      </c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 t="s">
        <v>207</v>
      </c>
      <c r="B317" s="4">
        <v>44744.0</v>
      </c>
      <c r="C317" s="3" t="s">
        <v>22</v>
      </c>
      <c r="D317" s="3" t="s">
        <v>309</v>
      </c>
      <c r="E317" s="5">
        <v>200.0</v>
      </c>
      <c r="F317" s="11" t="s">
        <v>40</v>
      </c>
      <c r="G317" s="11" t="s">
        <v>40</v>
      </c>
      <c r="H317" s="11" t="s">
        <v>41</v>
      </c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 t="s">
        <v>141</v>
      </c>
      <c r="B318" s="4">
        <v>44745.0</v>
      </c>
      <c r="C318" s="3" t="s">
        <v>22</v>
      </c>
      <c r="D318" s="3" t="s">
        <v>310</v>
      </c>
      <c r="E318" s="5">
        <v>200.0</v>
      </c>
      <c r="F318" s="11" t="s">
        <v>40</v>
      </c>
      <c r="G318" s="11" t="s">
        <v>40</v>
      </c>
      <c r="H318" s="11" t="s">
        <v>41</v>
      </c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 t="s">
        <v>207</v>
      </c>
      <c r="B319" s="4">
        <v>44747.0</v>
      </c>
      <c r="C319" s="3" t="s">
        <v>22</v>
      </c>
      <c r="D319" s="3" t="s">
        <v>311</v>
      </c>
      <c r="E319" s="5">
        <v>420.0</v>
      </c>
      <c r="F319" s="11" t="s">
        <v>40</v>
      </c>
      <c r="G319" s="11" t="s">
        <v>40</v>
      </c>
      <c r="H319" s="11" t="s">
        <v>41</v>
      </c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 t="s">
        <v>8</v>
      </c>
      <c r="B320" s="4">
        <v>44747.0</v>
      </c>
      <c r="C320" s="3" t="s">
        <v>22</v>
      </c>
      <c r="D320" s="3" t="s">
        <v>312</v>
      </c>
      <c r="E320" s="5">
        <v>285.0</v>
      </c>
      <c r="F320" s="11" t="s">
        <v>40</v>
      </c>
      <c r="G320" s="11" t="s">
        <v>40</v>
      </c>
      <c r="H320" s="11" t="s">
        <v>41</v>
      </c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 t="s">
        <v>181</v>
      </c>
      <c r="B321" s="4">
        <v>44748.0</v>
      </c>
      <c r="C321" s="3" t="s">
        <v>22</v>
      </c>
      <c r="D321" s="3" t="s">
        <v>313</v>
      </c>
      <c r="E321" s="5">
        <v>61.75</v>
      </c>
      <c r="F321" s="11" t="s">
        <v>90</v>
      </c>
      <c r="G321" s="11" t="s">
        <v>90</v>
      </c>
      <c r="H321" s="11" t="s">
        <v>90</v>
      </c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 t="s">
        <v>27</v>
      </c>
      <c r="B322" s="4">
        <v>44750.0</v>
      </c>
      <c r="C322" s="3" t="s">
        <v>22</v>
      </c>
      <c r="D322" s="3" t="s">
        <v>108</v>
      </c>
      <c r="E322" s="5">
        <v>182.75</v>
      </c>
      <c r="F322" s="11" t="s">
        <v>40</v>
      </c>
      <c r="G322" s="11" t="s">
        <v>41</v>
      </c>
      <c r="H322" s="11" t="s">
        <v>41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 t="s">
        <v>159</v>
      </c>
      <c r="B323" s="4">
        <v>44753.0</v>
      </c>
      <c r="C323" s="3" t="s">
        <v>15</v>
      </c>
      <c r="D323" s="3" t="s">
        <v>314</v>
      </c>
      <c r="E323" s="5">
        <v>8450.0</v>
      </c>
      <c r="F323" s="11" t="s">
        <v>90</v>
      </c>
      <c r="G323" s="11" t="s">
        <v>90</v>
      </c>
      <c r="H323" s="11" t="s">
        <v>41</v>
      </c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 t="s">
        <v>305</v>
      </c>
      <c r="B324" s="4">
        <v>44754.0</v>
      </c>
      <c r="C324" s="3" t="s">
        <v>15</v>
      </c>
      <c r="D324" s="3" t="s">
        <v>307</v>
      </c>
      <c r="E324" s="5">
        <v>800.0</v>
      </c>
      <c r="F324" s="11" t="s">
        <v>40</v>
      </c>
      <c r="G324" s="11" t="s">
        <v>40</v>
      </c>
      <c r="H324" s="11" t="s">
        <v>41</v>
      </c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 t="s">
        <v>80</v>
      </c>
      <c r="B325" s="4">
        <v>44758.0</v>
      </c>
      <c r="C325" s="3" t="s">
        <v>9</v>
      </c>
      <c r="D325" s="3" t="s">
        <v>315</v>
      </c>
      <c r="E325" s="5">
        <v>632.59</v>
      </c>
      <c r="F325" s="11" t="s">
        <v>40</v>
      </c>
      <c r="G325" s="11" t="s">
        <v>41</v>
      </c>
      <c r="H325" s="11" t="s">
        <v>41</v>
      </c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 t="s">
        <v>80</v>
      </c>
      <c r="B326" s="4">
        <v>44758.0</v>
      </c>
      <c r="C326" s="3" t="s">
        <v>9</v>
      </c>
      <c r="D326" s="3" t="s">
        <v>316</v>
      </c>
      <c r="E326" s="5">
        <v>3137.15</v>
      </c>
      <c r="F326" s="11" t="s">
        <v>40</v>
      </c>
      <c r="G326" s="11" t="s">
        <v>41</v>
      </c>
      <c r="H326" s="11" t="s">
        <v>41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 t="s">
        <v>80</v>
      </c>
      <c r="B327" s="4">
        <v>44759.0</v>
      </c>
      <c r="C327" s="3" t="s">
        <v>9</v>
      </c>
      <c r="D327" s="3" t="s">
        <v>317</v>
      </c>
      <c r="E327" s="5">
        <v>2565.54</v>
      </c>
      <c r="F327" s="11" t="s">
        <v>41</v>
      </c>
      <c r="G327" s="11" t="s">
        <v>41</v>
      </c>
      <c r="H327" s="11" t="s">
        <v>41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 t="s">
        <v>27</v>
      </c>
      <c r="B328" s="4">
        <v>44763.0</v>
      </c>
      <c r="C328" s="3" t="s">
        <v>22</v>
      </c>
      <c r="D328" s="3" t="s">
        <v>318</v>
      </c>
      <c r="E328" s="5">
        <v>75.66</v>
      </c>
      <c r="F328" s="11" t="s">
        <v>41</v>
      </c>
      <c r="G328" s="11" t="s">
        <v>40</v>
      </c>
      <c r="H328" s="11" t="s">
        <v>41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 t="s">
        <v>141</v>
      </c>
      <c r="B329" s="4">
        <v>44765.0</v>
      </c>
      <c r="C329" s="3" t="s">
        <v>22</v>
      </c>
      <c r="D329" s="3" t="s">
        <v>319</v>
      </c>
      <c r="E329" s="5">
        <v>200.0</v>
      </c>
      <c r="F329" s="11" t="s">
        <v>40</v>
      </c>
      <c r="G329" s="11" t="s">
        <v>40</v>
      </c>
      <c r="H329" s="11" t="s">
        <v>41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 t="s">
        <v>80</v>
      </c>
      <c r="B330" s="4">
        <v>44765.0</v>
      </c>
      <c r="C330" s="3" t="s">
        <v>9</v>
      </c>
      <c r="D330" s="3" t="s">
        <v>320</v>
      </c>
      <c r="E330" s="5">
        <v>40.0</v>
      </c>
      <c r="F330" s="11" t="s">
        <v>40</v>
      </c>
      <c r="G330" s="11" t="s">
        <v>41</v>
      </c>
      <c r="H330" s="11" t="s">
        <v>41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 t="s">
        <v>207</v>
      </c>
      <c r="B331" s="4">
        <v>44768.0</v>
      </c>
      <c r="C331" s="3" t="s">
        <v>22</v>
      </c>
      <c r="D331" s="3" t="s">
        <v>321</v>
      </c>
      <c r="E331" s="5">
        <v>156.0</v>
      </c>
      <c r="F331" s="11" t="s">
        <v>41</v>
      </c>
      <c r="G331" s="11" t="s">
        <v>41</v>
      </c>
      <c r="H331" s="11" t="s">
        <v>41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 t="s">
        <v>80</v>
      </c>
      <c r="B332" s="4">
        <v>44770.0</v>
      </c>
      <c r="C332" s="3" t="s">
        <v>9</v>
      </c>
      <c r="D332" s="3" t="s">
        <v>322</v>
      </c>
      <c r="E332" s="5">
        <v>139.9</v>
      </c>
      <c r="F332" s="11" t="s">
        <v>41</v>
      </c>
      <c r="G332" s="11" t="s">
        <v>41</v>
      </c>
      <c r="H332" s="11" t="s">
        <v>41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 t="s">
        <v>181</v>
      </c>
      <c r="B333" s="4">
        <v>44774.0</v>
      </c>
      <c r="C333" s="3" t="s">
        <v>9</v>
      </c>
      <c r="D333" s="3" t="s">
        <v>323</v>
      </c>
      <c r="E333" s="5">
        <v>847.88</v>
      </c>
      <c r="F333" s="11" t="s">
        <v>90</v>
      </c>
      <c r="G333" s="11" t="s">
        <v>90</v>
      </c>
      <c r="H333" s="11" t="s">
        <v>41</v>
      </c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 t="s">
        <v>181</v>
      </c>
      <c r="B334" s="4">
        <v>44774.0</v>
      </c>
      <c r="C334" s="3" t="s">
        <v>9</v>
      </c>
      <c r="D334" s="3" t="s">
        <v>324</v>
      </c>
      <c r="E334" s="5">
        <v>655.5</v>
      </c>
      <c r="F334" s="11" t="s">
        <v>90</v>
      </c>
      <c r="G334" s="11" t="s">
        <v>90</v>
      </c>
      <c r="H334" s="11" t="s">
        <v>41</v>
      </c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 t="s">
        <v>80</v>
      </c>
      <c r="B335" s="4">
        <v>44775.0</v>
      </c>
      <c r="C335" s="3" t="s">
        <v>9</v>
      </c>
      <c r="D335" s="3" t="s">
        <v>325</v>
      </c>
      <c r="E335" s="5">
        <v>20.0</v>
      </c>
      <c r="F335" s="11" t="s">
        <v>40</v>
      </c>
      <c r="G335" s="11" t="s">
        <v>40</v>
      </c>
      <c r="H335" s="11" t="s">
        <v>41</v>
      </c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 t="s">
        <v>207</v>
      </c>
      <c r="B336" s="4">
        <v>44777.0</v>
      </c>
      <c r="C336" s="3" t="s">
        <v>9</v>
      </c>
      <c r="D336" s="3" t="s">
        <v>326</v>
      </c>
      <c r="E336" s="5">
        <v>600.0</v>
      </c>
      <c r="F336" s="11" t="s">
        <v>40</v>
      </c>
      <c r="G336" s="11" t="s">
        <v>40</v>
      </c>
      <c r="H336" s="11" t="s">
        <v>41</v>
      </c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 t="s">
        <v>80</v>
      </c>
      <c r="B337" s="4">
        <v>44779.0</v>
      </c>
      <c r="C337" s="3" t="s">
        <v>9</v>
      </c>
      <c r="D337" s="3" t="s">
        <v>327</v>
      </c>
      <c r="E337" s="5">
        <v>20.58</v>
      </c>
      <c r="F337" s="11" t="s">
        <v>40</v>
      </c>
      <c r="G337" s="11" t="s">
        <v>41</v>
      </c>
      <c r="H337" s="11" t="s">
        <v>41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 t="s">
        <v>27</v>
      </c>
      <c r="B338" s="4">
        <v>44783.0</v>
      </c>
      <c r="C338" s="3" t="s">
        <v>22</v>
      </c>
      <c r="D338" s="3" t="s">
        <v>108</v>
      </c>
      <c r="E338" s="5">
        <v>182.75</v>
      </c>
      <c r="F338" s="11" t="s">
        <v>40</v>
      </c>
      <c r="G338" s="11" t="s">
        <v>41</v>
      </c>
      <c r="H338" s="11" t="s">
        <v>41</v>
      </c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 t="s">
        <v>278</v>
      </c>
      <c r="B339" s="4">
        <v>44787.0</v>
      </c>
      <c r="C339" s="3" t="s">
        <v>15</v>
      </c>
      <c r="D339" s="3" t="s">
        <v>328</v>
      </c>
      <c r="E339" s="5">
        <v>300.0</v>
      </c>
      <c r="F339" s="11" t="s">
        <v>40</v>
      </c>
      <c r="G339" s="11" t="s">
        <v>40</v>
      </c>
      <c r="H339" s="11" t="s">
        <v>41</v>
      </c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 t="s">
        <v>27</v>
      </c>
      <c r="B340" s="4">
        <v>44789.0</v>
      </c>
      <c r="C340" s="3" t="s">
        <v>9</v>
      </c>
      <c r="D340" s="3" t="s">
        <v>329</v>
      </c>
      <c r="E340" s="5">
        <v>99.55</v>
      </c>
      <c r="F340" s="11" t="s">
        <v>40</v>
      </c>
      <c r="G340" s="11" t="s">
        <v>41</v>
      </c>
      <c r="H340" s="11" t="s">
        <v>41</v>
      </c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 t="s">
        <v>27</v>
      </c>
      <c r="B341" s="4">
        <v>44789.0</v>
      </c>
      <c r="C341" s="3" t="s">
        <v>9</v>
      </c>
      <c r="D341" s="3" t="s">
        <v>330</v>
      </c>
      <c r="E341" s="5">
        <v>96.43</v>
      </c>
      <c r="F341" s="11" t="s">
        <v>40</v>
      </c>
      <c r="G341" s="11" t="s">
        <v>41</v>
      </c>
      <c r="H341" s="11" t="s">
        <v>41</v>
      </c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 t="s">
        <v>27</v>
      </c>
      <c r="B342" s="4">
        <v>44789.0</v>
      </c>
      <c r="C342" s="3" t="s">
        <v>9</v>
      </c>
      <c r="D342" s="3" t="s">
        <v>331</v>
      </c>
      <c r="E342" s="5">
        <v>88.26</v>
      </c>
      <c r="F342" s="11" t="s">
        <v>40</v>
      </c>
      <c r="G342" s="11" t="s">
        <v>41</v>
      </c>
      <c r="H342" s="11" t="s">
        <v>41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 t="s">
        <v>27</v>
      </c>
      <c r="B343" s="4">
        <v>44789.0</v>
      </c>
      <c r="C343" s="3" t="s">
        <v>9</v>
      </c>
      <c r="D343" s="3" t="s">
        <v>332</v>
      </c>
      <c r="E343" s="5">
        <v>84.01</v>
      </c>
      <c r="F343" s="11" t="s">
        <v>40</v>
      </c>
      <c r="G343" s="11" t="s">
        <v>41</v>
      </c>
      <c r="H343" s="11" t="s">
        <v>41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 t="s">
        <v>27</v>
      </c>
      <c r="B344" s="4">
        <v>44789.0</v>
      </c>
      <c r="C344" s="3" t="s">
        <v>9</v>
      </c>
      <c r="D344" s="3" t="s">
        <v>333</v>
      </c>
      <c r="E344" s="5">
        <v>82.18</v>
      </c>
      <c r="F344" s="11" t="s">
        <v>40</v>
      </c>
      <c r="G344" s="11" t="s">
        <v>41</v>
      </c>
      <c r="H344" s="11" t="s">
        <v>41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 t="s">
        <v>27</v>
      </c>
      <c r="B345" s="4">
        <v>44789.0</v>
      </c>
      <c r="C345" s="3" t="s">
        <v>9</v>
      </c>
      <c r="D345" s="3" t="s">
        <v>296</v>
      </c>
      <c r="E345" s="5">
        <v>63.32</v>
      </c>
      <c r="F345" s="11" t="s">
        <v>40</v>
      </c>
      <c r="G345" s="11" t="s">
        <v>41</v>
      </c>
      <c r="H345" s="11" t="s">
        <v>41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 t="s">
        <v>27</v>
      </c>
      <c r="B346" s="4">
        <v>44789.0</v>
      </c>
      <c r="C346" s="3" t="s">
        <v>9</v>
      </c>
      <c r="D346" s="3" t="s">
        <v>334</v>
      </c>
      <c r="E346" s="5">
        <v>59.25</v>
      </c>
      <c r="F346" s="11" t="s">
        <v>40</v>
      </c>
      <c r="G346" s="11" t="s">
        <v>41</v>
      </c>
      <c r="H346" s="11" t="s">
        <v>41</v>
      </c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 t="s">
        <v>181</v>
      </c>
      <c r="B347" s="4">
        <v>44774.0</v>
      </c>
      <c r="C347" s="3" t="s">
        <v>9</v>
      </c>
      <c r="D347" s="3" t="s">
        <v>335</v>
      </c>
      <c r="E347" s="5">
        <v>1503.0</v>
      </c>
      <c r="F347" s="11" t="s">
        <v>40</v>
      </c>
      <c r="G347" s="11" t="s">
        <v>40</v>
      </c>
      <c r="H347" s="11" t="s">
        <v>41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 t="s">
        <v>278</v>
      </c>
      <c r="B348" s="4">
        <v>44801.0</v>
      </c>
      <c r="C348" s="3" t="s">
        <v>9</v>
      </c>
      <c r="D348" s="3" t="s">
        <v>336</v>
      </c>
      <c r="E348" s="5">
        <v>49.92</v>
      </c>
      <c r="F348" s="11" t="s">
        <v>41</v>
      </c>
      <c r="G348" s="11" t="s">
        <v>40</v>
      </c>
      <c r="H348" s="11" t="s">
        <v>41</v>
      </c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 t="s">
        <v>278</v>
      </c>
      <c r="B349" s="4">
        <v>44801.0</v>
      </c>
      <c r="C349" s="3" t="s">
        <v>9</v>
      </c>
      <c r="D349" s="3" t="s">
        <v>337</v>
      </c>
      <c r="E349" s="5">
        <v>92.08</v>
      </c>
      <c r="F349" s="11" t="s">
        <v>40</v>
      </c>
      <c r="G349" s="11" t="s">
        <v>41</v>
      </c>
      <c r="H349" s="11" t="s">
        <v>41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 t="s">
        <v>181</v>
      </c>
      <c r="B350" s="4">
        <v>44804.0</v>
      </c>
      <c r="C350" s="3" t="s">
        <v>9</v>
      </c>
      <c r="D350" s="3" t="s">
        <v>338</v>
      </c>
      <c r="E350" s="5">
        <v>1140.0</v>
      </c>
      <c r="F350" s="11" t="s">
        <v>40</v>
      </c>
      <c r="G350" s="11" t="s">
        <v>40</v>
      </c>
      <c r="H350" s="11" t="s">
        <v>41</v>
      </c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 t="s">
        <v>11</v>
      </c>
      <c r="B351" s="4">
        <v>44804.0</v>
      </c>
      <c r="C351" s="3" t="s">
        <v>9</v>
      </c>
      <c r="D351" s="3" t="s">
        <v>339</v>
      </c>
      <c r="E351" s="5">
        <v>0.0</v>
      </c>
      <c r="F351" s="11" t="s">
        <v>40</v>
      </c>
      <c r="G351" s="11" t="s">
        <v>40</v>
      </c>
      <c r="H351" s="11" t="s">
        <v>40</v>
      </c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 t="s">
        <v>159</v>
      </c>
      <c r="B352" s="4">
        <v>44812.0</v>
      </c>
      <c r="C352" s="3" t="s">
        <v>22</v>
      </c>
      <c r="D352" s="3" t="s">
        <v>340</v>
      </c>
      <c r="E352" s="5">
        <v>50.0</v>
      </c>
      <c r="F352" s="11"/>
      <c r="G352" s="11"/>
      <c r="H352" s="11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 t="s">
        <v>27</v>
      </c>
      <c r="B353" s="4">
        <v>44813.0</v>
      </c>
      <c r="C353" s="3" t="s">
        <v>22</v>
      </c>
      <c r="D353" s="3" t="s">
        <v>108</v>
      </c>
      <c r="E353" s="5">
        <v>182.75</v>
      </c>
      <c r="F353" s="11"/>
      <c r="G353" s="11"/>
      <c r="H353" s="11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 t="s">
        <v>27</v>
      </c>
      <c r="B354" s="4">
        <v>44841.0</v>
      </c>
      <c r="C354" s="3" t="s">
        <v>22</v>
      </c>
      <c r="D354" s="3" t="s">
        <v>108</v>
      </c>
      <c r="E354" s="5">
        <v>182.75</v>
      </c>
      <c r="F354" s="11"/>
      <c r="G354" s="11"/>
      <c r="H354" s="11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 t="s">
        <v>27</v>
      </c>
      <c r="B355" s="4">
        <v>44875.0</v>
      </c>
      <c r="C355" s="3" t="s">
        <v>22</v>
      </c>
      <c r="D355" s="3" t="s">
        <v>108</v>
      </c>
      <c r="E355" s="5">
        <v>224.2</v>
      </c>
      <c r="F355" s="11"/>
      <c r="G355" s="11"/>
      <c r="H355" s="11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 t="s">
        <v>27</v>
      </c>
      <c r="B356" s="4">
        <v>44905.0</v>
      </c>
      <c r="C356" s="3" t="s">
        <v>22</v>
      </c>
      <c r="D356" s="3" t="s">
        <v>108</v>
      </c>
      <c r="E356" s="5">
        <v>224.2</v>
      </c>
      <c r="F356" s="11"/>
      <c r="G356" s="11"/>
      <c r="H356" s="11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 t="s">
        <v>27</v>
      </c>
      <c r="B357" s="4">
        <v>44936.0</v>
      </c>
      <c r="C357" s="3" t="s">
        <v>22</v>
      </c>
      <c r="D357" s="3" t="s">
        <v>108</v>
      </c>
      <c r="E357" s="5">
        <v>224.2</v>
      </c>
      <c r="F357" s="11"/>
      <c r="G357" s="11"/>
      <c r="H357" s="11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 t="s">
        <v>305</v>
      </c>
      <c r="B358" s="4">
        <v>44944.0</v>
      </c>
      <c r="C358" s="3" t="s">
        <v>9</v>
      </c>
      <c r="D358" s="3" t="s">
        <v>341</v>
      </c>
      <c r="E358" s="5">
        <v>510.0</v>
      </c>
      <c r="F358" s="11"/>
      <c r="G358" s="11"/>
      <c r="H358" s="11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 t="s">
        <v>207</v>
      </c>
      <c r="B359" s="4">
        <v>44945.0</v>
      </c>
      <c r="C359" s="3" t="s">
        <v>22</v>
      </c>
      <c r="D359" s="3" t="s">
        <v>342</v>
      </c>
      <c r="E359" s="5">
        <v>493.9</v>
      </c>
      <c r="F359" s="11"/>
      <c r="G359" s="11"/>
      <c r="H359" s="11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 t="s">
        <v>207</v>
      </c>
      <c r="B360" s="4">
        <v>44953.0</v>
      </c>
      <c r="C360" s="3" t="s">
        <v>15</v>
      </c>
      <c r="D360" s="3" t="s">
        <v>343</v>
      </c>
      <c r="E360" s="5">
        <v>750.0</v>
      </c>
      <c r="F360" s="11"/>
      <c r="G360" s="11"/>
      <c r="H360" s="11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 t="s">
        <v>278</v>
      </c>
      <c r="B361" s="4">
        <v>44955.0</v>
      </c>
      <c r="C361" s="3" t="s">
        <v>22</v>
      </c>
      <c r="D361" s="3" t="s">
        <v>344</v>
      </c>
      <c r="E361" s="5">
        <v>99.44</v>
      </c>
      <c r="F361" s="11"/>
      <c r="G361" s="11"/>
      <c r="H361" s="11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 t="s">
        <v>27</v>
      </c>
      <c r="B362" s="4">
        <v>44967.0</v>
      </c>
      <c r="C362" s="3" t="s">
        <v>22</v>
      </c>
      <c r="D362" s="3" t="s">
        <v>108</v>
      </c>
      <c r="E362" s="5">
        <v>224.2</v>
      </c>
      <c r="F362" s="11"/>
      <c r="G362" s="11"/>
      <c r="H362" s="11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 t="s">
        <v>27</v>
      </c>
      <c r="B363" s="4">
        <v>44995.0</v>
      </c>
      <c r="C363" s="3" t="s">
        <v>22</v>
      </c>
      <c r="D363" s="3" t="s">
        <v>108</v>
      </c>
      <c r="E363" s="5">
        <v>224.2</v>
      </c>
      <c r="F363" s="11"/>
      <c r="G363" s="11"/>
      <c r="H363" s="11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 t="s">
        <v>27</v>
      </c>
      <c r="B364" s="4">
        <v>45008.0</v>
      </c>
      <c r="C364" s="3" t="s">
        <v>15</v>
      </c>
      <c r="D364" s="3" t="s">
        <v>345</v>
      </c>
      <c r="E364" s="5">
        <v>1319.76</v>
      </c>
      <c r="F364" s="11"/>
      <c r="G364" s="11"/>
      <c r="H364" s="11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 t="s">
        <v>27</v>
      </c>
      <c r="B365" s="4">
        <v>45026.0</v>
      </c>
      <c r="C365" s="3" t="s">
        <v>22</v>
      </c>
      <c r="D365" s="3" t="s">
        <v>108</v>
      </c>
      <c r="E365" s="5">
        <v>224.2</v>
      </c>
      <c r="F365" s="11"/>
      <c r="G365" s="11"/>
      <c r="H365" s="11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 t="s">
        <v>27</v>
      </c>
      <c r="B366" s="4">
        <v>45056.0</v>
      </c>
      <c r="C366" s="3" t="s">
        <v>22</v>
      </c>
      <c r="D366" s="3" t="s">
        <v>108</v>
      </c>
      <c r="E366" s="5">
        <v>301.82</v>
      </c>
      <c r="F366" s="11"/>
      <c r="G366" s="11"/>
      <c r="H366" s="11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 t="s">
        <v>27</v>
      </c>
      <c r="B367" s="19">
        <v>45086.0</v>
      </c>
      <c r="C367" s="3" t="s">
        <v>22</v>
      </c>
      <c r="D367" s="3" t="s">
        <v>108</v>
      </c>
      <c r="E367" s="5">
        <v>301.82</v>
      </c>
      <c r="F367" s="11"/>
      <c r="G367" s="11"/>
      <c r="H367" s="11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20" t="s">
        <v>11</v>
      </c>
      <c r="B368" s="19">
        <v>45117.0</v>
      </c>
      <c r="C368" s="20" t="s">
        <v>15</v>
      </c>
      <c r="D368" s="3" t="s">
        <v>346</v>
      </c>
      <c r="E368" s="21">
        <v>4077.25</v>
      </c>
      <c r="F368" s="11"/>
      <c r="G368" s="11"/>
      <c r="H368" s="11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 t="s">
        <v>27</v>
      </c>
      <c r="B369" s="19">
        <v>45117.0</v>
      </c>
      <c r="C369" s="3" t="s">
        <v>22</v>
      </c>
      <c r="D369" s="3" t="s">
        <v>108</v>
      </c>
      <c r="E369" s="5">
        <v>301.82</v>
      </c>
      <c r="F369" s="11"/>
      <c r="G369" s="11"/>
      <c r="H369" s="11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 t="s">
        <v>27</v>
      </c>
      <c r="B370" s="19">
        <v>45148.0</v>
      </c>
      <c r="C370" s="3" t="s">
        <v>22</v>
      </c>
      <c r="D370" s="3" t="s">
        <v>108</v>
      </c>
      <c r="E370" s="5">
        <v>301.82</v>
      </c>
      <c r="F370" s="11"/>
      <c r="G370" s="11"/>
      <c r="H370" s="11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 t="s">
        <v>27</v>
      </c>
      <c r="B371" s="19">
        <v>45169.0</v>
      </c>
      <c r="C371" s="20" t="s">
        <v>9</v>
      </c>
      <c r="D371" s="20" t="s">
        <v>347</v>
      </c>
      <c r="E371" s="21">
        <v>64.92</v>
      </c>
      <c r="F371" s="11"/>
      <c r="G371" s="11"/>
      <c r="H371" s="11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 t="s">
        <v>27</v>
      </c>
      <c r="B372" s="19">
        <v>45169.0</v>
      </c>
      <c r="C372" s="20" t="s">
        <v>9</v>
      </c>
      <c r="D372" s="20" t="s">
        <v>348</v>
      </c>
      <c r="E372" s="21">
        <v>64.92</v>
      </c>
      <c r="F372" s="11"/>
      <c r="G372" s="11"/>
      <c r="H372" s="11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 t="s">
        <v>27</v>
      </c>
      <c r="B373" s="19">
        <v>45169.0</v>
      </c>
      <c r="C373" s="20" t="s">
        <v>9</v>
      </c>
      <c r="D373" s="20" t="s">
        <v>349</v>
      </c>
      <c r="E373" s="21">
        <v>67.06</v>
      </c>
      <c r="F373" s="11"/>
      <c r="G373" s="11"/>
      <c r="H373" s="11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 t="s">
        <v>27</v>
      </c>
      <c r="B374" s="19">
        <v>45169.0</v>
      </c>
      <c r="C374" s="20" t="s">
        <v>9</v>
      </c>
      <c r="D374" s="20" t="s">
        <v>350</v>
      </c>
      <c r="E374" s="21">
        <v>94.44</v>
      </c>
      <c r="F374" s="11"/>
      <c r="G374" s="11"/>
      <c r="H374" s="11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 t="s">
        <v>27</v>
      </c>
      <c r="B375" s="19">
        <v>45169.0</v>
      </c>
      <c r="C375" s="20" t="s">
        <v>9</v>
      </c>
      <c r="D375" s="20" t="s">
        <v>351</v>
      </c>
      <c r="E375" s="21">
        <v>61.21</v>
      </c>
      <c r="F375" s="11"/>
      <c r="G375" s="11"/>
      <c r="H375" s="11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 t="s">
        <v>27</v>
      </c>
      <c r="B376" s="19">
        <v>45169.0</v>
      </c>
      <c r="C376" s="20" t="s">
        <v>9</v>
      </c>
      <c r="D376" s="20" t="s">
        <v>352</v>
      </c>
      <c r="E376" s="21">
        <v>85.94</v>
      </c>
      <c r="F376" s="11"/>
      <c r="G376" s="11"/>
      <c r="H376" s="11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 t="s">
        <v>27</v>
      </c>
      <c r="B377" s="19">
        <v>45169.0</v>
      </c>
      <c r="C377" s="20" t="s">
        <v>9</v>
      </c>
      <c r="D377" s="20" t="s">
        <v>353</v>
      </c>
      <c r="E377" s="21">
        <v>86.02</v>
      </c>
      <c r="F377" s="11"/>
      <c r="G377" s="11"/>
      <c r="H377" s="11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 t="s">
        <v>27</v>
      </c>
      <c r="B378" s="19">
        <v>45175.0</v>
      </c>
      <c r="C378" s="3" t="s">
        <v>22</v>
      </c>
      <c r="D378" s="3" t="s">
        <v>108</v>
      </c>
      <c r="E378" s="5">
        <v>301.82</v>
      </c>
      <c r="F378" s="11"/>
      <c r="G378" s="11"/>
      <c r="H378" s="11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20" t="s">
        <v>305</v>
      </c>
      <c r="B379" s="19">
        <v>45183.0</v>
      </c>
      <c r="C379" s="3" t="s">
        <v>22</v>
      </c>
      <c r="D379" s="20" t="s">
        <v>354</v>
      </c>
      <c r="E379" s="21">
        <v>345.0</v>
      </c>
      <c r="F379" s="11"/>
      <c r="G379" s="11"/>
      <c r="H379" s="11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20" t="s">
        <v>278</v>
      </c>
      <c r="B380" s="19">
        <v>45199.0</v>
      </c>
      <c r="C380" s="20" t="s">
        <v>22</v>
      </c>
      <c r="D380" s="20" t="s">
        <v>355</v>
      </c>
      <c r="E380" s="21">
        <v>146.54</v>
      </c>
      <c r="F380" s="11"/>
      <c r="G380" s="11"/>
      <c r="H380" s="11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20" t="s">
        <v>278</v>
      </c>
      <c r="B381" s="19">
        <v>45199.0</v>
      </c>
      <c r="C381" s="20" t="s">
        <v>22</v>
      </c>
      <c r="D381" s="20" t="s">
        <v>356</v>
      </c>
      <c r="E381" s="21">
        <v>150.0</v>
      </c>
      <c r="F381" s="11"/>
      <c r="G381" s="11"/>
      <c r="H381" s="11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20" t="s">
        <v>278</v>
      </c>
      <c r="B382" s="19">
        <v>45204.0</v>
      </c>
      <c r="C382" s="20" t="s">
        <v>22</v>
      </c>
      <c r="D382" s="20" t="s">
        <v>357</v>
      </c>
      <c r="E382" s="21">
        <v>200.0</v>
      </c>
      <c r="F382" s="11"/>
      <c r="G382" s="11"/>
      <c r="H382" s="11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20" t="s">
        <v>278</v>
      </c>
      <c r="B383" s="19">
        <v>45204.0</v>
      </c>
      <c r="C383" s="20" t="s">
        <v>22</v>
      </c>
      <c r="D383" s="20" t="s">
        <v>358</v>
      </c>
      <c r="E383" s="21">
        <v>88.68</v>
      </c>
      <c r="F383" s="11"/>
      <c r="G383" s="11"/>
      <c r="H383" s="11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 t="s">
        <v>27</v>
      </c>
      <c r="B384" s="19">
        <v>45209.0</v>
      </c>
      <c r="C384" s="3" t="s">
        <v>22</v>
      </c>
      <c r="D384" s="3" t="s">
        <v>108</v>
      </c>
      <c r="E384" s="5">
        <v>301.82</v>
      </c>
      <c r="F384" s="11"/>
      <c r="G384" s="11"/>
      <c r="H384" s="11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20" t="s">
        <v>141</v>
      </c>
      <c r="B385" s="19">
        <v>45212.0</v>
      </c>
      <c r="C385" s="3" t="s">
        <v>22</v>
      </c>
      <c r="D385" s="20" t="s">
        <v>359</v>
      </c>
      <c r="E385" s="21">
        <v>100.0</v>
      </c>
      <c r="F385" s="11"/>
      <c r="G385" s="11"/>
      <c r="H385" s="11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 t="s">
        <v>27</v>
      </c>
      <c r="B386" s="19">
        <v>45240.0</v>
      </c>
      <c r="C386" s="3" t="s">
        <v>22</v>
      </c>
      <c r="D386" s="3" t="s">
        <v>108</v>
      </c>
      <c r="E386" s="5">
        <v>301.82</v>
      </c>
      <c r="F386" s="11"/>
      <c r="G386" s="11"/>
      <c r="H386" s="11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20" t="s">
        <v>305</v>
      </c>
      <c r="B387" s="19">
        <v>45258.0</v>
      </c>
      <c r="C387" s="3" t="s">
        <v>22</v>
      </c>
      <c r="D387" s="20" t="s">
        <v>354</v>
      </c>
      <c r="E387" s="21">
        <v>280.0</v>
      </c>
      <c r="F387" s="11"/>
      <c r="G387" s="11"/>
      <c r="H387" s="11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 t="s">
        <v>27</v>
      </c>
      <c r="B388" s="19">
        <v>45271.0</v>
      </c>
      <c r="C388" s="3" t="s">
        <v>22</v>
      </c>
      <c r="D388" s="3" t="s">
        <v>108</v>
      </c>
      <c r="E388" s="5">
        <v>301.82</v>
      </c>
      <c r="F388" s="11"/>
      <c r="G388" s="11"/>
      <c r="H388" s="11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 t="s">
        <v>27</v>
      </c>
      <c r="B389" s="19">
        <v>45299.0</v>
      </c>
      <c r="C389" s="3" t="s">
        <v>22</v>
      </c>
      <c r="D389" s="3" t="s">
        <v>108</v>
      </c>
      <c r="E389" s="5">
        <v>301.82</v>
      </c>
      <c r="F389" s="11"/>
      <c r="G389" s="11"/>
      <c r="H389" s="11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20" t="s">
        <v>305</v>
      </c>
      <c r="B390" s="19">
        <v>45302.0</v>
      </c>
      <c r="C390" s="20" t="s">
        <v>22</v>
      </c>
      <c r="D390" s="20" t="s">
        <v>354</v>
      </c>
      <c r="E390" s="21">
        <v>200.0</v>
      </c>
      <c r="F390" s="11"/>
      <c r="G390" s="11"/>
      <c r="H390" s="11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 t="s">
        <v>27</v>
      </c>
      <c r="B391" s="19">
        <v>45331.0</v>
      </c>
      <c r="C391" s="3" t="s">
        <v>22</v>
      </c>
      <c r="D391" s="3" t="s">
        <v>108</v>
      </c>
      <c r="E391" s="5">
        <v>301.82</v>
      </c>
      <c r="F391" s="11"/>
      <c r="G391" s="11"/>
      <c r="H391" s="11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 t="s">
        <v>27</v>
      </c>
      <c r="B392" s="19">
        <v>45358.0</v>
      </c>
      <c r="C392" s="20" t="s">
        <v>15</v>
      </c>
      <c r="D392" s="20" t="s">
        <v>360</v>
      </c>
      <c r="E392" s="21">
        <v>1378.07</v>
      </c>
      <c r="F392" s="11"/>
      <c r="G392" s="11"/>
      <c r="H392" s="11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 t="s">
        <v>27</v>
      </c>
      <c r="B393" s="19">
        <v>45359.0</v>
      </c>
      <c r="C393" s="3" t="s">
        <v>22</v>
      </c>
      <c r="D393" s="3" t="s">
        <v>108</v>
      </c>
      <c r="E393" s="5">
        <v>301.82</v>
      </c>
      <c r="F393" s="11"/>
      <c r="G393" s="11"/>
      <c r="H393" s="11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20" t="s">
        <v>305</v>
      </c>
      <c r="B394" s="19">
        <v>45376.0</v>
      </c>
      <c r="C394" s="20" t="s">
        <v>15</v>
      </c>
      <c r="D394" s="20" t="s">
        <v>354</v>
      </c>
      <c r="E394" s="21">
        <v>200.0</v>
      </c>
      <c r="F394" s="11"/>
      <c r="G394" s="11"/>
      <c r="H394" s="11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20" t="s">
        <v>278</v>
      </c>
      <c r="B395" s="19">
        <v>45383.0</v>
      </c>
      <c r="C395" s="20" t="s">
        <v>22</v>
      </c>
      <c r="D395" s="20" t="s">
        <v>357</v>
      </c>
      <c r="E395" s="21">
        <v>200.0</v>
      </c>
      <c r="F395" s="11"/>
      <c r="G395" s="11"/>
      <c r="H395" s="11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 t="s">
        <v>27</v>
      </c>
      <c r="B396" s="19">
        <v>45391.0</v>
      </c>
      <c r="C396" s="3" t="s">
        <v>22</v>
      </c>
      <c r="D396" s="3" t="s">
        <v>108</v>
      </c>
      <c r="E396" s="5">
        <v>301.82</v>
      </c>
      <c r="F396" s="11"/>
      <c r="G396" s="11"/>
      <c r="H396" s="11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 t="s">
        <v>27</v>
      </c>
      <c r="B397" s="19">
        <v>45421.0</v>
      </c>
      <c r="C397" s="3" t="s">
        <v>22</v>
      </c>
      <c r="D397" s="3" t="s">
        <v>108</v>
      </c>
      <c r="E397" s="5">
        <v>301.82</v>
      </c>
      <c r="F397" s="11"/>
      <c r="G397" s="11"/>
      <c r="H397" s="11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 t="s">
        <v>27</v>
      </c>
      <c r="B398" s="19">
        <v>45453.0</v>
      </c>
      <c r="C398" s="3" t="s">
        <v>22</v>
      </c>
      <c r="D398" s="3" t="s">
        <v>108</v>
      </c>
      <c r="E398" s="5">
        <v>301.82</v>
      </c>
      <c r="F398" s="11"/>
      <c r="G398" s="11"/>
      <c r="H398" s="11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20" t="s">
        <v>27</v>
      </c>
      <c r="B399" s="19">
        <v>45481.0</v>
      </c>
      <c r="C399" s="20" t="s">
        <v>9</v>
      </c>
      <c r="D399" s="20" t="s">
        <v>361</v>
      </c>
      <c r="E399" s="21">
        <v>81.26</v>
      </c>
      <c r="F399" s="22" t="s">
        <v>41</v>
      </c>
      <c r="G399" s="22" t="s">
        <v>40</v>
      </c>
      <c r="H399" s="22" t="s">
        <v>41</v>
      </c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20" t="s">
        <v>27</v>
      </c>
      <c r="B400" s="19">
        <v>45481.0</v>
      </c>
      <c r="C400" s="20" t="s">
        <v>9</v>
      </c>
      <c r="D400" s="20" t="s">
        <v>362</v>
      </c>
      <c r="E400" s="21">
        <v>64.92</v>
      </c>
      <c r="F400" s="22" t="s">
        <v>41</v>
      </c>
      <c r="G400" s="22" t="s">
        <v>40</v>
      </c>
      <c r="H400" s="22" t="s">
        <v>41</v>
      </c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20" t="s">
        <v>27</v>
      </c>
      <c r="B401" s="19">
        <v>45481.0</v>
      </c>
      <c r="C401" s="20" t="s">
        <v>9</v>
      </c>
      <c r="D401" s="20" t="s">
        <v>363</v>
      </c>
      <c r="E401" s="21">
        <v>64.92</v>
      </c>
      <c r="F401" s="22" t="s">
        <v>41</v>
      </c>
      <c r="G401" s="22" t="s">
        <v>40</v>
      </c>
      <c r="H401" s="22" t="s">
        <v>41</v>
      </c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20" t="s">
        <v>27</v>
      </c>
      <c r="B402" s="19">
        <v>45481.0</v>
      </c>
      <c r="C402" s="20" t="s">
        <v>9</v>
      </c>
      <c r="D402" s="20" t="s">
        <v>364</v>
      </c>
      <c r="E402" s="21">
        <v>64.92</v>
      </c>
      <c r="F402" s="22" t="s">
        <v>41</v>
      </c>
      <c r="G402" s="22" t="s">
        <v>40</v>
      </c>
      <c r="H402" s="22" t="s">
        <v>41</v>
      </c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20" t="s">
        <v>27</v>
      </c>
      <c r="B403" s="19">
        <v>45481.0</v>
      </c>
      <c r="C403" s="20" t="s">
        <v>9</v>
      </c>
      <c r="D403" s="20" t="s">
        <v>365</v>
      </c>
      <c r="E403" s="21">
        <v>64.92</v>
      </c>
      <c r="F403" s="22" t="s">
        <v>41</v>
      </c>
      <c r="G403" s="22" t="s">
        <v>40</v>
      </c>
      <c r="H403" s="22" t="s">
        <v>41</v>
      </c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20" t="s">
        <v>27</v>
      </c>
      <c r="B404" s="19">
        <v>45481.0</v>
      </c>
      <c r="C404" s="20" t="s">
        <v>9</v>
      </c>
      <c r="D404" s="20" t="s">
        <v>366</v>
      </c>
      <c r="E404" s="21">
        <v>64.92</v>
      </c>
      <c r="F404" s="22" t="s">
        <v>41</v>
      </c>
      <c r="G404" s="22" t="s">
        <v>40</v>
      </c>
      <c r="H404" s="22" t="s">
        <v>41</v>
      </c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20" t="s">
        <v>27</v>
      </c>
      <c r="B405" s="19">
        <v>45481.0</v>
      </c>
      <c r="C405" s="20" t="s">
        <v>9</v>
      </c>
      <c r="D405" s="20" t="s">
        <v>367</v>
      </c>
      <c r="E405" s="21">
        <v>64.92</v>
      </c>
      <c r="F405" s="22" t="s">
        <v>41</v>
      </c>
      <c r="G405" s="22" t="s">
        <v>40</v>
      </c>
      <c r="H405" s="22" t="s">
        <v>41</v>
      </c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20" t="s">
        <v>27</v>
      </c>
      <c r="B406" s="19">
        <v>45481.0</v>
      </c>
      <c r="C406" s="20" t="s">
        <v>9</v>
      </c>
      <c r="D406" s="20" t="s">
        <v>368</v>
      </c>
      <c r="E406" s="21">
        <v>64.92</v>
      </c>
      <c r="F406" s="22" t="s">
        <v>41</v>
      </c>
      <c r="G406" s="22" t="s">
        <v>40</v>
      </c>
      <c r="H406" s="22" t="s">
        <v>41</v>
      </c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20" t="s">
        <v>27</v>
      </c>
      <c r="B407" s="19">
        <v>45481.0</v>
      </c>
      <c r="C407" s="20" t="s">
        <v>9</v>
      </c>
      <c r="D407" s="20" t="s">
        <v>369</v>
      </c>
      <c r="E407" s="21">
        <v>65.52</v>
      </c>
      <c r="F407" s="22" t="s">
        <v>41</v>
      </c>
      <c r="G407" s="22" t="s">
        <v>40</v>
      </c>
      <c r="H407" s="22" t="s">
        <v>41</v>
      </c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20" t="s">
        <v>27</v>
      </c>
      <c r="B408" s="19">
        <v>45481.0</v>
      </c>
      <c r="C408" s="20" t="s">
        <v>9</v>
      </c>
      <c r="D408" s="20" t="s">
        <v>370</v>
      </c>
      <c r="E408" s="21">
        <v>69.43</v>
      </c>
      <c r="F408" s="22" t="s">
        <v>41</v>
      </c>
      <c r="G408" s="22" t="s">
        <v>40</v>
      </c>
      <c r="H408" s="22" t="s">
        <v>41</v>
      </c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20" t="s">
        <v>27</v>
      </c>
      <c r="B409" s="19">
        <v>45481.0</v>
      </c>
      <c r="C409" s="20" t="s">
        <v>9</v>
      </c>
      <c r="D409" s="20" t="s">
        <v>371</v>
      </c>
      <c r="E409" s="21">
        <v>180.32</v>
      </c>
      <c r="F409" s="22" t="s">
        <v>41</v>
      </c>
      <c r="G409" s="22" t="s">
        <v>40</v>
      </c>
      <c r="H409" s="22" t="s">
        <v>41</v>
      </c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20" t="s">
        <v>27</v>
      </c>
      <c r="B410" s="19">
        <v>45481.0</v>
      </c>
      <c r="C410" s="20" t="s">
        <v>9</v>
      </c>
      <c r="D410" s="20" t="s">
        <v>372</v>
      </c>
      <c r="E410" s="21">
        <v>90.05</v>
      </c>
      <c r="F410" s="22" t="s">
        <v>41</v>
      </c>
      <c r="G410" s="22" t="s">
        <v>40</v>
      </c>
      <c r="H410" s="22" t="s">
        <v>41</v>
      </c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20" t="s">
        <v>27</v>
      </c>
      <c r="B411" s="19">
        <v>45481.0</v>
      </c>
      <c r="C411" s="20" t="s">
        <v>9</v>
      </c>
      <c r="D411" s="20" t="s">
        <v>373</v>
      </c>
      <c r="E411" s="21">
        <v>89.56</v>
      </c>
      <c r="F411" s="22" t="s">
        <v>41</v>
      </c>
      <c r="G411" s="22" t="s">
        <v>40</v>
      </c>
      <c r="H411" s="22" t="s">
        <v>41</v>
      </c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20" t="s">
        <v>27</v>
      </c>
      <c r="B412" s="19">
        <v>45481.0</v>
      </c>
      <c r="C412" s="20" t="s">
        <v>9</v>
      </c>
      <c r="D412" s="20" t="s">
        <v>374</v>
      </c>
      <c r="E412" s="21">
        <v>89.69</v>
      </c>
      <c r="F412" s="22" t="s">
        <v>41</v>
      </c>
      <c r="G412" s="22" t="s">
        <v>40</v>
      </c>
      <c r="H412" s="22" t="s">
        <v>41</v>
      </c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20" t="s">
        <v>27</v>
      </c>
      <c r="B413" s="19">
        <v>45481.0</v>
      </c>
      <c r="C413" s="20" t="s">
        <v>9</v>
      </c>
      <c r="D413" s="20" t="s">
        <v>375</v>
      </c>
      <c r="E413" s="21">
        <v>89.48</v>
      </c>
      <c r="F413" s="22" t="s">
        <v>41</v>
      </c>
      <c r="G413" s="22" t="s">
        <v>40</v>
      </c>
      <c r="H413" s="22" t="s">
        <v>41</v>
      </c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20" t="s">
        <v>27</v>
      </c>
      <c r="B414" s="19">
        <v>45481.0</v>
      </c>
      <c r="C414" s="20" t="s">
        <v>9</v>
      </c>
      <c r="D414" s="20" t="s">
        <v>376</v>
      </c>
      <c r="E414" s="21">
        <v>89.29</v>
      </c>
      <c r="F414" s="22" t="s">
        <v>41</v>
      </c>
      <c r="G414" s="22" t="s">
        <v>40</v>
      </c>
      <c r="H414" s="22" t="s">
        <v>41</v>
      </c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20" t="s">
        <v>27</v>
      </c>
      <c r="B415" s="19">
        <v>45483.0</v>
      </c>
      <c r="C415" s="20" t="s">
        <v>22</v>
      </c>
      <c r="D415" s="20" t="s">
        <v>108</v>
      </c>
      <c r="E415" s="21">
        <v>301.82</v>
      </c>
      <c r="F415" s="22" t="s">
        <v>41</v>
      </c>
      <c r="G415" s="22" t="s">
        <v>40</v>
      </c>
      <c r="H415" s="22" t="s">
        <v>41</v>
      </c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20" t="s">
        <v>27</v>
      </c>
      <c r="B416" s="19">
        <v>45516.0</v>
      </c>
      <c r="C416" s="20" t="s">
        <v>22</v>
      </c>
      <c r="D416" s="20" t="s">
        <v>108</v>
      </c>
      <c r="E416" s="21">
        <v>301.82</v>
      </c>
      <c r="F416" s="11"/>
      <c r="G416" s="11"/>
      <c r="H416" s="11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20" t="s">
        <v>278</v>
      </c>
      <c r="B417" s="19">
        <v>45523.0</v>
      </c>
      <c r="C417" s="20" t="s">
        <v>22</v>
      </c>
      <c r="D417" s="20" t="s">
        <v>357</v>
      </c>
      <c r="E417" s="21">
        <v>200.0</v>
      </c>
      <c r="F417" s="11"/>
      <c r="G417" s="11"/>
      <c r="H417" s="11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20" t="s">
        <v>27</v>
      </c>
      <c r="B418" s="19">
        <v>45545.0</v>
      </c>
      <c r="C418" s="20" t="s">
        <v>22</v>
      </c>
      <c r="D418" s="20" t="s">
        <v>377</v>
      </c>
      <c r="E418" s="21">
        <v>301.82</v>
      </c>
      <c r="F418" s="11"/>
      <c r="G418" s="11"/>
      <c r="H418" s="11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20" t="s">
        <v>27</v>
      </c>
      <c r="B419" s="19">
        <v>45574.0</v>
      </c>
      <c r="C419" s="20" t="s">
        <v>22</v>
      </c>
      <c r="D419" s="20" t="s">
        <v>377</v>
      </c>
      <c r="E419" s="21">
        <v>301.82</v>
      </c>
      <c r="F419" s="11"/>
      <c r="G419" s="11"/>
      <c r="H419" s="11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20" t="s">
        <v>27</v>
      </c>
      <c r="B420" s="19">
        <v>45602.0</v>
      </c>
      <c r="C420" s="20" t="s">
        <v>22</v>
      </c>
      <c r="D420" s="20" t="s">
        <v>377</v>
      </c>
      <c r="E420" s="21">
        <v>301.82</v>
      </c>
      <c r="F420" s="11"/>
      <c r="G420" s="11"/>
      <c r="H420" s="11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20" t="s">
        <v>27</v>
      </c>
      <c r="B421" s="19">
        <v>45632.0</v>
      </c>
      <c r="C421" s="20" t="s">
        <v>22</v>
      </c>
      <c r="D421" s="20" t="s">
        <v>377</v>
      </c>
      <c r="E421" s="21">
        <v>301.82</v>
      </c>
      <c r="F421" s="11"/>
      <c r="G421" s="11"/>
      <c r="H421" s="11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20" t="s">
        <v>27</v>
      </c>
      <c r="B422" s="19">
        <v>45666.0</v>
      </c>
      <c r="C422" s="20" t="s">
        <v>22</v>
      </c>
      <c r="D422" s="20" t="s">
        <v>378</v>
      </c>
      <c r="E422" s="21">
        <v>301.82</v>
      </c>
      <c r="F422" s="11"/>
      <c r="G422" s="11"/>
      <c r="H422" s="11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20" t="s">
        <v>27</v>
      </c>
      <c r="B423" s="19">
        <v>45695.0</v>
      </c>
      <c r="C423" s="20" t="s">
        <v>22</v>
      </c>
      <c r="D423" s="20" t="s">
        <v>378</v>
      </c>
      <c r="E423" s="21">
        <v>301.82</v>
      </c>
      <c r="F423" s="11"/>
      <c r="G423" s="11"/>
      <c r="H423" s="11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20" t="s">
        <v>27</v>
      </c>
      <c r="B424" s="19">
        <v>45707.0</v>
      </c>
      <c r="C424" s="20" t="s">
        <v>9</v>
      </c>
      <c r="D424" s="20" t="s">
        <v>379</v>
      </c>
      <c r="E424" s="21">
        <v>100.68</v>
      </c>
      <c r="F424" s="22" t="s">
        <v>41</v>
      </c>
      <c r="G424" s="22" t="s">
        <v>40</v>
      </c>
      <c r="H424" s="22" t="s">
        <v>41</v>
      </c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20" t="s">
        <v>27</v>
      </c>
      <c r="B425" s="19">
        <v>45707.0</v>
      </c>
      <c r="C425" s="20" t="s">
        <v>9</v>
      </c>
      <c r="D425" s="20" t="s">
        <v>380</v>
      </c>
      <c r="E425" s="21">
        <v>91.71</v>
      </c>
      <c r="F425" s="22" t="s">
        <v>41</v>
      </c>
      <c r="G425" s="22" t="s">
        <v>40</v>
      </c>
      <c r="H425" s="22" t="s">
        <v>41</v>
      </c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20" t="s">
        <v>27</v>
      </c>
      <c r="B426" s="19">
        <v>45707.0</v>
      </c>
      <c r="C426" s="20" t="s">
        <v>9</v>
      </c>
      <c r="D426" s="20" t="s">
        <v>381</v>
      </c>
      <c r="E426" s="21">
        <v>95.87</v>
      </c>
      <c r="F426" s="22" t="s">
        <v>41</v>
      </c>
      <c r="G426" s="22" t="s">
        <v>40</v>
      </c>
      <c r="H426" s="22" t="s">
        <v>41</v>
      </c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20" t="s">
        <v>27</v>
      </c>
      <c r="B427" s="19">
        <v>45707.0</v>
      </c>
      <c r="C427" s="20" t="s">
        <v>9</v>
      </c>
      <c r="D427" s="20" t="s">
        <v>382</v>
      </c>
      <c r="E427" s="21">
        <v>98.74</v>
      </c>
      <c r="F427" s="22" t="s">
        <v>41</v>
      </c>
      <c r="G427" s="22" t="s">
        <v>40</v>
      </c>
      <c r="H427" s="22" t="s">
        <v>41</v>
      </c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20" t="s">
        <v>27</v>
      </c>
      <c r="B428" s="19">
        <v>45707.0</v>
      </c>
      <c r="C428" s="20" t="s">
        <v>9</v>
      </c>
      <c r="D428" s="20" t="s">
        <v>383</v>
      </c>
      <c r="E428" s="21">
        <v>91.52</v>
      </c>
      <c r="F428" s="22" t="s">
        <v>41</v>
      </c>
      <c r="G428" s="22" t="s">
        <v>40</v>
      </c>
      <c r="H428" s="22" t="s">
        <v>41</v>
      </c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20" t="s">
        <v>27</v>
      </c>
      <c r="B429" s="19">
        <v>45707.0</v>
      </c>
      <c r="C429" s="20" t="s">
        <v>9</v>
      </c>
      <c r="D429" s="20" t="s">
        <v>384</v>
      </c>
      <c r="E429" s="21">
        <v>82.54</v>
      </c>
      <c r="F429" s="22" t="s">
        <v>41</v>
      </c>
      <c r="G429" s="22" t="s">
        <v>40</v>
      </c>
      <c r="H429" s="22" t="s">
        <v>41</v>
      </c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20" t="s">
        <v>27</v>
      </c>
      <c r="B430" s="19">
        <v>45723.0</v>
      </c>
      <c r="C430" s="20" t="s">
        <v>22</v>
      </c>
      <c r="D430" s="20" t="s">
        <v>378</v>
      </c>
      <c r="E430" s="21">
        <v>301.82</v>
      </c>
      <c r="F430" s="11"/>
      <c r="G430" s="11"/>
      <c r="H430" s="11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20" t="s">
        <v>27</v>
      </c>
      <c r="B431" s="19">
        <v>45724.0</v>
      </c>
      <c r="C431" s="20" t="s">
        <v>15</v>
      </c>
      <c r="D431" s="20" t="s">
        <v>385</v>
      </c>
      <c r="E431" s="21">
        <v>1453.56</v>
      </c>
      <c r="F431" s="11"/>
      <c r="G431" s="11"/>
      <c r="H431" s="11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20" t="s">
        <v>305</v>
      </c>
      <c r="B432" s="19">
        <v>45743.0</v>
      </c>
      <c r="C432" s="20" t="s">
        <v>22</v>
      </c>
      <c r="D432" s="20" t="s">
        <v>386</v>
      </c>
      <c r="E432" s="21">
        <v>190.0</v>
      </c>
      <c r="F432" s="11"/>
      <c r="G432" s="11"/>
      <c r="H432" s="11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20" t="s">
        <v>27</v>
      </c>
      <c r="B433" s="19">
        <v>45746.0</v>
      </c>
      <c r="C433" s="20" t="s">
        <v>9</v>
      </c>
      <c r="D433" s="20" t="s">
        <v>387</v>
      </c>
      <c r="E433" s="21">
        <v>142.0</v>
      </c>
      <c r="F433" s="22" t="s">
        <v>41</v>
      </c>
      <c r="G433" s="22" t="s">
        <v>40</v>
      </c>
      <c r="H433" s="22" t="s">
        <v>41</v>
      </c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20" t="s">
        <v>27</v>
      </c>
      <c r="B434" s="19">
        <v>45746.0</v>
      </c>
      <c r="C434" s="20" t="s">
        <v>9</v>
      </c>
      <c r="D434" s="20" t="s">
        <v>388</v>
      </c>
      <c r="E434" s="21">
        <v>68.97</v>
      </c>
      <c r="F434" s="22" t="s">
        <v>41</v>
      </c>
      <c r="G434" s="22" t="s">
        <v>40</v>
      </c>
      <c r="H434" s="22" t="s">
        <v>41</v>
      </c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20" t="s">
        <v>27</v>
      </c>
      <c r="B435" s="19">
        <v>45746.0</v>
      </c>
      <c r="C435" s="20" t="s">
        <v>9</v>
      </c>
      <c r="D435" s="20" t="s">
        <v>389</v>
      </c>
      <c r="E435" s="21">
        <v>68.74</v>
      </c>
      <c r="F435" s="22" t="s">
        <v>41</v>
      </c>
      <c r="G435" s="22" t="s">
        <v>40</v>
      </c>
      <c r="H435" s="22" t="s">
        <v>41</v>
      </c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20" t="s">
        <v>27</v>
      </c>
      <c r="B436" s="19">
        <v>45746.0</v>
      </c>
      <c r="C436" s="20" t="s">
        <v>9</v>
      </c>
      <c r="D436" s="20" t="s">
        <v>390</v>
      </c>
      <c r="E436" s="21">
        <v>68.74</v>
      </c>
      <c r="F436" s="22" t="s">
        <v>41</v>
      </c>
      <c r="G436" s="22" t="s">
        <v>40</v>
      </c>
      <c r="H436" s="22" t="s">
        <v>41</v>
      </c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20" t="s">
        <v>27</v>
      </c>
      <c r="B437" s="19">
        <v>45746.0</v>
      </c>
      <c r="C437" s="20" t="s">
        <v>9</v>
      </c>
      <c r="D437" s="20" t="s">
        <v>391</v>
      </c>
      <c r="E437" s="21">
        <v>68.74</v>
      </c>
      <c r="F437" s="22" t="s">
        <v>41</v>
      </c>
      <c r="G437" s="22" t="s">
        <v>40</v>
      </c>
      <c r="H437" s="22" t="s">
        <v>41</v>
      </c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20" t="s">
        <v>27</v>
      </c>
      <c r="B438" s="19">
        <v>45746.0</v>
      </c>
      <c r="C438" s="20" t="s">
        <v>9</v>
      </c>
      <c r="D438" s="20" t="s">
        <v>392</v>
      </c>
      <c r="E438" s="21">
        <v>68.74</v>
      </c>
      <c r="F438" s="22" t="s">
        <v>41</v>
      </c>
      <c r="G438" s="22" t="s">
        <v>40</v>
      </c>
      <c r="H438" s="22" t="s">
        <v>41</v>
      </c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20" t="s">
        <v>27</v>
      </c>
      <c r="B439" s="19">
        <v>45746.0</v>
      </c>
      <c r="C439" s="20" t="s">
        <v>9</v>
      </c>
      <c r="D439" s="20" t="s">
        <v>393</v>
      </c>
      <c r="E439" s="21">
        <v>68.74</v>
      </c>
      <c r="F439" s="22" t="s">
        <v>41</v>
      </c>
      <c r="G439" s="22" t="s">
        <v>40</v>
      </c>
      <c r="H439" s="22" t="s">
        <v>41</v>
      </c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20" t="s">
        <v>27</v>
      </c>
      <c r="B440" s="19">
        <v>45746.0</v>
      </c>
      <c r="C440" s="20" t="s">
        <v>9</v>
      </c>
      <c r="D440" s="20" t="s">
        <v>394</v>
      </c>
      <c r="E440" s="21">
        <v>68.74</v>
      </c>
      <c r="F440" s="22" t="s">
        <v>41</v>
      </c>
      <c r="G440" s="22" t="s">
        <v>40</v>
      </c>
      <c r="H440" s="22" t="s">
        <v>41</v>
      </c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20" t="s">
        <v>27</v>
      </c>
      <c r="B441" s="19">
        <v>45746.0</v>
      </c>
      <c r="C441" s="20" t="s">
        <v>9</v>
      </c>
      <c r="D441" s="20" t="s">
        <v>395</v>
      </c>
      <c r="E441" s="21">
        <v>68.74</v>
      </c>
      <c r="F441" s="22" t="s">
        <v>41</v>
      </c>
      <c r="G441" s="22" t="s">
        <v>40</v>
      </c>
      <c r="H441" s="22" t="s">
        <v>41</v>
      </c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20" t="s">
        <v>27</v>
      </c>
      <c r="B442" s="19">
        <v>45746.0</v>
      </c>
      <c r="C442" s="20" t="s">
        <v>9</v>
      </c>
      <c r="D442" s="20" t="s">
        <v>396</v>
      </c>
      <c r="E442" s="21">
        <v>134.36</v>
      </c>
      <c r="F442" s="22" t="s">
        <v>41</v>
      </c>
      <c r="G442" s="22" t="s">
        <v>40</v>
      </c>
      <c r="H442" s="22" t="s">
        <v>41</v>
      </c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20" t="s">
        <v>278</v>
      </c>
      <c r="B443" s="19">
        <v>45746.0</v>
      </c>
      <c r="C443" s="20" t="s">
        <v>22</v>
      </c>
      <c r="D443" s="20" t="s">
        <v>397</v>
      </c>
      <c r="E443" s="21">
        <v>280.0</v>
      </c>
      <c r="F443" s="11"/>
      <c r="G443" s="11"/>
      <c r="H443" s="11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20" t="s">
        <v>27</v>
      </c>
      <c r="B444" s="19">
        <v>45754.0</v>
      </c>
      <c r="C444" s="20" t="s">
        <v>22</v>
      </c>
      <c r="D444" s="20" t="s">
        <v>378</v>
      </c>
      <c r="E444" s="21">
        <v>301.82</v>
      </c>
      <c r="F444" s="11"/>
      <c r="G444" s="11"/>
      <c r="H444" s="11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20" t="s">
        <v>11</v>
      </c>
      <c r="B445" s="19">
        <v>45754.0</v>
      </c>
      <c r="C445" s="20" t="s">
        <v>9</v>
      </c>
      <c r="D445" s="20" t="s">
        <v>398</v>
      </c>
      <c r="E445" s="21">
        <v>75.17</v>
      </c>
      <c r="F445" s="22" t="s">
        <v>40</v>
      </c>
      <c r="G445" s="22" t="s">
        <v>40</v>
      </c>
      <c r="H445" s="22" t="s">
        <v>41</v>
      </c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20" t="s">
        <v>8</v>
      </c>
      <c r="B446" s="19">
        <v>45762.0</v>
      </c>
      <c r="C446" s="20" t="s">
        <v>22</v>
      </c>
      <c r="D446" s="20" t="s">
        <v>399</v>
      </c>
      <c r="E446" s="21">
        <v>1900.0</v>
      </c>
      <c r="F446" s="11"/>
      <c r="G446" s="11"/>
      <c r="H446" s="11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20" t="s">
        <v>305</v>
      </c>
      <c r="B447" s="19">
        <v>45770.0</v>
      </c>
      <c r="C447" s="20" t="s">
        <v>15</v>
      </c>
      <c r="D447" s="20" t="s">
        <v>400</v>
      </c>
      <c r="E447" s="21">
        <v>1336.9</v>
      </c>
      <c r="F447" s="11"/>
      <c r="G447" s="11"/>
      <c r="H447" s="11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20" t="s">
        <v>278</v>
      </c>
      <c r="B448" s="19">
        <v>45778.0</v>
      </c>
      <c r="C448" s="20" t="s">
        <v>9</v>
      </c>
      <c r="D448" s="20" t="s">
        <v>401</v>
      </c>
      <c r="E448" s="21">
        <v>1200.0</v>
      </c>
      <c r="F448" s="22" t="s">
        <v>41</v>
      </c>
      <c r="G448" s="22" t="s">
        <v>40</v>
      </c>
      <c r="H448" s="22" t="s">
        <v>41</v>
      </c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20" t="s">
        <v>27</v>
      </c>
      <c r="B449" s="19">
        <v>45785.0</v>
      </c>
      <c r="C449" s="20" t="s">
        <v>22</v>
      </c>
      <c r="D449" s="20" t="s">
        <v>378</v>
      </c>
      <c r="E449" s="21">
        <v>391.03</v>
      </c>
      <c r="F449" s="11"/>
      <c r="G449" s="11"/>
      <c r="H449" s="11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20" t="s">
        <v>80</v>
      </c>
      <c r="B450" s="19">
        <v>45798.0</v>
      </c>
      <c r="C450" s="20" t="s">
        <v>9</v>
      </c>
      <c r="D450" s="20" t="s">
        <v>402</v>
      </c>
      <c r="E450" s="21">
        <v>101.88</v>
      </c>
      <c r="F450" s="22" t="s">
        <v>40</v>
      </c>
      <c r="G450" s="22" t="s">
        <v>41</v>
      </c>
      <c r="H450" s="22" t="s">
        <v>40</v>
      </c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20" t="s">
        <v>278</v>
      </c>
      <c r="B451" s="19">
        <v>45803.0</v>
      </c>
      <c r="C451" s="20" t="s">
        <v>9</v>
      </c>
      <c r="D451" s="20" t="s">
        <v>401</v>
      </c>
      <c r="E451" s="21">
        <v>418.92</v>
      </c>
      <c r="F451" s="22" t="s">
        <v>41</v>
      </c>
      <c r="G451" s="22" t="s">
        <v>40</v>
      </c>
      <c r="H451" s="22" t="s">
        <v>41</v>
      </c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20" t="s">
        <v>80</v>
      </c>
      <c r="B452" s="19">
        <v>45801.0</v>
      </c>
      <c r="C452" s="20" t="s">
        <v>9</v>
      </c>
      <c r="D452" s="20" t="s">
        <v>403</v>
      </c>
      <c r="E452" s="21">
        <v>111.27</v>
      </c>
      <c r="F452" s="22" t="s">
        <v>40</v>
      </c>
      <c r="G452" s="22" t="s">
        <v>41</v>
      </c>
      <c r="H452" s="22" t="s">
        <v>40</v>
      </c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20" t="s">
        <v>80</v>
      </c>
      <c r="B453" s="19">
        <v>45803.0</v>
      </c>
      <c r="C453" s="20" t="s">
        <v>9</v>
      </c>
      <c r="D453" s="20" t="s">
        <v>404</v>
      </c>
      <c r="E453" s="21">
        <v>55.23</v>
      </c>
      <c r="F453" s="22" t="s">
        <v>40</v>
      </c>
      <c r="G453" s="22" t="s">
        <v>41</v>
      </c>
      <c r="H453" s="22" t="s">
        <v>40</v>
      </c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20" t="s">
        <v>278</v>
      </c>
      <c r="B454" s="19">
        <v>45806.0</v>
      </c>
      <c r="C454" s="20" t="s">
        <v>9</v>
      </c>
      <c r="D454" s="20" t="s">
        <v>401</v>
      </c>
      <c r="E454" s="21">
        <v>49.36</v>
      </c>
      <c r="F454" s="22" t="s">
        <v>41</v>
      </c>
      <c r="G454" s="22" t="s">
        <v>40</v>
      </c>
      <c r="H454" s="22" t="s">
        <v>41</v>
      </c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4"/>
      <c r="C455" s="3"/>
      <c r="D455" s="3"/>
      <c r="E455" s="5"/>
      <c r="F455" s="11"/>
      <c r="G455" s="11"/>
      <c r="H455" s="11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4"/>
      <c r="C456" s="3"/>
      <c r="D456" s="3"/>
      <c r="E456" s="5"/>
      <c r="F456" s="11"/>
      <c r="G456" s="11"/>
      <c r="H456" s="11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4"/>
      <c r="C457" s="3"/>
      <c r="D457" s="3"/>
      <c r="E457" s="5"/>
      <c r="F457" s="11"/>
      <c r="G457" s="11"/>
      <c r="H457" s="11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4"/>
      <c r="C458" s="3"/>
      <c r="D458" s="3"/>
      <c r="E458" s="5"/>
      <c r="F458" s="11"/>
      <c r="G458" s="11"/>
      <c r="H458" s="11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4"/>
      <c r="C459" s="3"/>
      <c r="D459" s="3"/>
      <c r="E459" s="5"/>
      <c r="F459" s="11"/>
      <c r="G459" s="11"/>
      <c r="H459" s="11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4"/>
      <c r="C460" s="3"/>
      <c r="D460" s="3"/>
      <c r="E460" s="5"/>
      <c r="F460" s="11"/>
      <c r="G460" s="11"/>
      <c r="H460" s="11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4"/>
      <c r="C461" s="3"/>
      <c r="D461" s="3"/>
      <c r="E461" s="5"/>
      <c r="F461" s="11"/>
      <c r="G461" s="11"/>
      <c r="H461" s="11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4"/>
      <c r="C462" s="3"/>
      <c r="D462" s="3"/>
      <c r="E462" s="5"/>
      <c r="F462" s="11"/>
      <c r="G462" s="11"/>
      <c r="H462" s="11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4"/>
      <c r="C463" s="3"/>
      <c r="D463" s="3"/>
      <c r="E463" s="5"/>
      <c r="F463" s="11"/>
      <c r="G463" s="11"/>
      <c r="H463" s="11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4"/>
      <c r="C464" s="3"/>
      <c r="D464" s="3"/>
      <c r="E464" s="5"/>
      <c r="F464" s="11"/>
      <c r="G464" s="11"/>
      <c r="H464" s="11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4"/>
      <c r="C465" s="3"/>
      <c r="D465" s="3"/>
      <c r="E465" s="5"/>
      <c r="F465" s="11"/>
      <c r="G465" s="11"/>
      <c r="H465" s="11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4"/>
      <c r="C466" s="3"/>
      <c r="D466" s="3"/>
      <c r="E466" s="5"/>
      <c r="F466" s="11"/>
      <c r="G466" s="11"/>
      <c r="H466" s="11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4"/>
      <c r="C467" s="3"/>
      <c r="D467" s="3"/>
      <c r="E467" s="5"/>
      <c r="F467" s="11"/>
      <c r="G467" s="11"/>
      <c r="H467" s="11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4"/>
      <c r="C468" s="3"/>
      <c r="D468" s="3"/>
      <c r="E468" s="5"/>
      <c r="F468" s="11"/>
      <c r="G468" s="11"/>
      <c r="H468" s="11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4"/>
      <c r="C469" s="3"/>
      <c r="D469" s="3"/>
      <c r="E469" s="5"/>
      <c r="F469" s="11"/>
      <c r="G469" s="11"/>
      <c r="H469" s="11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4"/>
      <c r="C470" s="3"/>
      <c r="D470" s="3"/>
      <c r="E470" s="5"/>
      <c r="F470" s="11"/>
      <c r="G470" s="11"/>
      <c r="H470" s="11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4"/>
      <c r="C471" s="3"/>
      <c r="D471" s="3"/>
      <c r="E471" s="5"/>
      <c r="F471" s="11"/>
      <c r="G471" s="11"/>
      <c r="H471" s="11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4"/>
      <c r="C472" s="3"/>
      <c r="D472" s="3"/>
      <c r="E472" s="5"/>
      <c r="F472" s="11"/>
      <c r="G472" s="11"/>
      <c r="H472" s="11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4"/>
      <c r="C473" s="3"/>
      <c r="D473" s="3"/>
      <c r="E473" s="5"/>
      <c r="F473" s="11"/>
      <c r="G473" s="11"/>
      <c r="H473" s="11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4"/>
      <c r="C474" s="3"/>
      <c r="D474" s="3"/>
      <c r="E474" s="5"/>
      <c r="F474" s="11"/>
      <c r="G474" s="11"/>
      <c r="H474" s="11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4"/>
      <c r="C475" s="3"/>
      <c r="D475" s="3"/>
      <c r="E475" s="5"/>
      <c r="F475" s="11"/>
      <c r="G475" s="11"/>
      <c r="H475" s="11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4"/>
      <c r="C476" s="3"/>
      <c r="D476" s="3"/>
      <c r="E476" s="5"/>
      <c r="F476" s="11"/>
      <c r="G476" s="11"/>
      <c r="H476" s="11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4"/>
      <c r="C477" s="3"/>
      <c r="D477" s="3"/>
      <c r="E477" s="5"/>
      <c r="F477" s="11"/>
      <c r="G477" s="11"/>
      <c r="H477" s="11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4"/>
      <c r="C478" s="3"/>
      <c r="D478" s="3"/>
      <c r="E478" s="5"/>
      <c r="F478" s="11"/>
      <c r="G478" s="11"/>
      <c r="H478" s="11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4"/>
      <c r="C479" s="3"/>
      <c r="D479" s="3"/>
      <c r="E479" s="5"/>
      <c r="F479" s="11"/>
      <c r="G479" s="11"/>
      <c r="H479" s="11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4"/>
      <c r="C480" s="3"/>
      <c r="D480" s="3"/>
      <c r="E480" s="5"/>
      <c r="F480" s="11"/>
      <c r="G480" s="11"/>
      <c r="H480" s="11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4"/>
      <c r="C481" s="3"/>
      <c r="D481" s="3"/>
      <c r="E481" s="5"/>
      <c r="F481" s="11"/>
      <c r="G481" s="11"/>
      <c r="H481" s="11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4"/>
      <c r="C482" s="3"/>
      <c r="D482" s="3"/>
      <c r="E482" s="5"/>
      <c r="F482" s="11"/>
      <c r="G482" s="11"/>
      <c r="H482" s="11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4"/>
      <c r="C483" s="3"/>
      <c r="D483" s="3"/>
      <c r="E483" s="5"/>
      <c r="F483" s="11"/>
      <c r="G483" s="11"/>
      <c r="H483" s="11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4"/>
      <c r="C484" s="3"/>
      <c r="D484" s="3"/>
      <c r="E484" s="5"/>
      <c r="F484" s="11"/>
      <c r="G484" s="11"/>
      <c r="H484" s="11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4"/>
      <c r="C485" s="3"/>
      <c r="D485" s="3"/>
      <c r="E485" s="5"/>
      <c r="F485" s="11"/>
      <c r="G485" s="11"/>
      <c r="H485" s="11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4"/>
      <c r="C486" s="3"/>
      <c r="D486" s="3"/>
      <c r="E486" s="5"/>
      <c r="F486" s="11"/>
      <c r="G486" s="11"/>
      <c r="H486" s="11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4"/>
      <c r="C487" s="3"/>
      <c r="D487" s="3"/>
      <c r="E487" s="5"/>
      <c r="F487" s="11"/>
      <c r="G487" s="11"/>
      <c r="H487" s="11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4"/>
      <c r="C488" s="3"/>
      <c r="D488" s="3"/>
      <c r="E488" s="5"/>
      <c r="F488" s="11"/>
      <c r="G488" s="11"/>
      <c r="H488" s="11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4"/>
      <c r="C489" s="3"/>
      <c r="D489" s="3"/>
      <c r="E489" s="5"/>
      <c r="F489" s="11"/>
      <c r="G489" s="11"/>
      <c r="H489" s="11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4"/>
      <c r="C490" s="3"/>
      <c r="D490" s="3"/>
      <c r="E490" s="5"/>
      <c r="F490" s="11"/>
      <c r="G490" s="11"/>
      <c r="H490" s="11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4"/>
      <c r="C491" s="3"/>
      <c r="D491" s="3"/>
      <c r="E491" s="5"/>
      <c r="F491" s="11"/>
      <c r="G491" s="11"/>
      <c r="H491" s="11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4"/>
      <c r="C492" s="3"/>
      <c r="D492" s="3"/>
      <c r="E492" s="5"/>
      <c r="F492" s="11"/>
      <c r="G492" s="11"/>
      <c r="H492" s="11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4"/>
      <c r="C493" s="3"/>
      <c r="D493" s="3"/>
      <c r="E493" s="5"/>
      <c r="F493" s="11"/>
      <c r="G493" s="11"/>
      <c r="H493" s="11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4"/>
      <c r="C494" s="3"/>
      <c r="D494" s="3"/>
      <c r="E494" s="5"/>
      <c r="F494" s="11"/>
      <c r="G494" s="11"/>
      <c r="H494" s="11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4"/>
      <c r="C495" s="3"/>
      <c r="D495" s="3"/>
      <c r="E495" s="5"/>
      <c r="F495" s="11"/>
      <c r="G495" s="11"/>
      <c r="H495" s="11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4"/>
      <c r="C496" s="3"/>
      <c r="D496" s="3"/>
      <c r="E496" s="5"/>
      <c r="F496" s="11"/>
      <c r="G496" s="11"/>
      <c r="H496" s="11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4"/>
      <c r="C497" s="3"/>
      <c r="D497" s="3"/>
      <c r="E497" s="5"/>
      <c r="F497" s="11"/>
      <c r="G497" s="11"/>
      <c r="H497" s="11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4"/>
      <c r="C498" s="3"/>
      <c r="D498" s="3"/>
      <c r="E498" s="5"/>
      <c r="F498" s="11"/>
      <c r="G498" s="11"/>
      <c r="H498" s="11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4"/>
      <c r="C499" s="3"/>
      <c r="D499" s="3"/>
      <c r="E499" s="5"/>
      <c r="F499" s="11"/>
      <c r="G499" s="11"/>
      <c r="H499" s="11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4"/>
      <c r="C500" s="3"/>
      <c r="D500" s="3"/>
      <c r="E500" s="5"/>
      <c r="F500" s="11"/>
      <c r="G500" s="11"/>
      <c r="H500" s="11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4"/>
      <c r="C501" s="3"/>
      <c r="D501" s="3"/>
      <c r="E501" s="5"/>
      <c r="F501" s="11"/>
      <c r="G501" s="11"/>
      <c r="H501" s="11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4"/>
      <c r="C502" s="3"/>
      <c r="D502" s="3"/>
      <c r="E502" s="5"/>
      <c r="F502" s="11"/>
      <c r="G502" s="11"/>
      <c r="H502" s="11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4"/>
      <c r="C503" s="3"/>
      <c r="D503" s="3"/>
      <c r="E503" s="5"/>
      <c r="F503" s="11"/>
      <c r="G503" s="11"/>
      <c r="H503" s="11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4"/>
      <c r="C504" s="3"/>
      <c r="D504" s="3"/>
      <c r="E504" s="5"/>
      <c r="F504" s="11"/>
      <c r="G504" s="11"/>
      <c r="H504" s="11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4"/>
      <c r="C505" s="3"/>
      <c r="D505" s="3"/>
      <c r="E505" s="5"/>
      <c r="F505" s="11"/>
      <c r="G505" s="11"/>
      <c r="H505" s="11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4"/>
      <c r="C506" s="3"/>
      <c r="D506" s="3"/>
      <c r="E506" s="5"/>
      <c r="F506" s="11"/>
      <c r="G506" s="11"/>
      <c r="H506" s="11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4"/>
      <c r="C507" s="3"/>
      <c r="D507" s="3"/>
      <c r="E507" s="5"/>
      <c r="F507" s="11"/>
      <c r="G507" s="11"/>
      <c r="H507" s="11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4"/>
      <c r="C508" s="3"/>
      <c r="D508" s="3"/>
      <c r="E508" s="5"/>
      <c r="F508" s="11"/>
      <c r="G508" s="11"/>
      <c r="H508" s="11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4"/>
      <c r="C509" s="3"/>
      <c r="D509" s="3"/>
      <c r="E509" s="5"/>
      <c r="F509" s="11"/>
      <c r="G509" s="11"/>
      <c r="H509" s="11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4"/>
      <c r="C510" s="3"/>
      <c r="D510" s="3"/>
      <c r="E510" s="5"/>
      <c r="F510" s="11"/>
      <c r="G510" s="11"/>
      <c r="H510" s="11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4"/>
      <c r="C511" s="3"/>
      <c r="D511" s="3"/>
      <c r="E511" s="5"/>
      <c r="F511" s="11"/>
      <c r="G511" s="11"/>
      <c r="H511" s="11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4"/>
      <c r="C512" s="3"/>
      <c r="D512" s="3"/>
      <c r="E512" s="5"/>
      <c r="F512" s="11"/>
      <c r="G512" s="11"/>
      <c r="H512" s="11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4"/>
      <c r="C513" s="3"/>
      <c r="D513" s="3"/>
      <c r="E513" s="5"/>
      <c r="F513" s="11"/>
      <c r="G513" s="11"/>
      <c r="H513" s="11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4"/>
      <c r="C514" s="3"/>
      <c r="D514" s="3"/>
      <c r="E514" s="5"/>
      <c r="F514" s="11"/>
      <c r="G514" s="11"/>
      <c r="H514" s="11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4"/>
      <c r="C515" s="3"/>
      <c r="D515" s="3"/>
      <c r="E515" s="5"/>
      <c r="F515" s="11"/>
      <c r="G515" s="11"/>
      <c r="H515" s="11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4"/>
      <c r="C516" s="3"/>
      <c r="D516" s="3"/>
      <c r="E516" s="5"/>
      <c r="F516" s="11"/>
      <c r="G516" s="11"/>
      <c r="H516" s="11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4"/>
      <c r="C517" s="3"/>
      <c r="D517" s="3"/>
      <c r="E517" s="5"/>
      <c r="F517" s="11"/>
      <c r="G517" s="11"/>
      <c r="H517" s="11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4"/>
      <c r="C518" s="3"/>
      <c r="D518" s="3"/>
      <c r="E518" s="5"/>
      <c r="F518" s="11"/>
      <c r="G518" s="11"/>
      <c r="H518" s="11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4"/>
      <c r="C519" s="3"/>
      <c r="D519" s="3"/>
      <c r="E519" s="5"/>
      <c r="F519" s="11"/>
      <c r="G519" s="11"/>
      <c r="H519" s="11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4"/>
      <c r="C520" s="3"/>
      <c r="D520" s="3"/>
      <c r="E520" s="5"/>
      <c r="F520" s="11"/>
      <c r="G520" s="11"/>
      <c r="H520" s="11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4"/>
      <c r="C521" s="3"/>
      <c r="D521" s="3"/>
      <c r="E521" s="5"/>
      <c r="F521" s="11"/>
      <c r="G521" s="11"/>
      <c r="H521" s="11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4"/>
      <c r="C522" s="3"/>
      <c r="D522" s="3"/>
      <c r="E522" s="5"/>
      <c r="F522" s="11"/>
      <c r="G522" s="11"/>
      <c r="H522" s="11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4"/>
      <c r="C523" s="3"/>
      <c r="D523" s="3"/>
      <c r="E523" s="5"/>
      <c r="F523" s="11"/>
      <c r="G523" s="11"/>
      <c r="H523" s="11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4"/>
      <c r="C524" s="3"/>
      <c r="D524" s="3"/>
      <c r="E524" s="5"/>
      <c r="F524" s="11"/>
      <c r="G524" s="11"/>
      <c r="H524" s="11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4"/>
      <c r="C525" s="3"/>
      <c r="D525" s="3"/>
      <c r="E525" s="5"/>
      <c r="F525" s="11"/>
      <c r="G525" s="11"/>
      <c r="H525" s="11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4"/>
      <c r="C526" s="3"/>
      <c r="D526" s="3"/>
      <c r="E526" s="5"/>
      <c r="F526" s="11"/>
      <c r="G526" s="11"/>
      <c r="H526" s="11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4"/>
      <c r="C527" s="3"/>
      <c r="D527" s="3"/>
      <c r="E527" s="5"/>
      <c r="F527" s="11"/>
      <c r="G527" s="11"/>
      <c r="H527" s="11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4"/>
      <c r="C528" s="3"/>
      <c r="D528" s="3"/>
      <c r="E528" s="5"/>
      <c r="F528" s="11"/>
      <c r="G528" s="11"/>
      <c r="H528" s="11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4"/>
      <c r="C529" s="3"/>
      <c r="D529" s="3"/>
      <c r="E529" s="5"/>
      <c r="F529" s="11"/>
      <c r="G529" s="11"/>
      <c r="H529" s="11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4"/>
      <c r="C530" s="3"/>
      <c r="D530" s="3"/>
      <c r="E530" s="5"/>
      <c r="F530" s="11"/>
      <c r="G530" s="11"/>
      <c r="H530" s="11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4"/>
      <c r="C531" s="3"/>
      <c r="D531" s="3"/>
      <c r="E531" s="5"/>
      <c r="F531" s="11"/>
      <c r="G531" s="11"/>
      <c r="H531" s="11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4"/>
      <c r="C532" s="3"/>
      <c r="D532" s="3"/>
      <c r="E532" s="5"/>
      <c r="F532" s="11"/>
      <c r="G532" s="11"/>
      <c r="H532" s="11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4"/>
      <c r="C533" s="3"/>
      <c r="D533" s="3"/>
      <c r="E533" s="5"/>
      <c r="F533" s="11"/>
      <c r="G533" s="11"/>
      <c r="H533" s="11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4"/>
      <c r="C534" s="3"/>
      <c r="D534" s="3"/>
      <c r="E534" s="5"/>
      <c r="F534" s="11"/>
      <c r="G534" s="11"/>
      <c r="H534" s="11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4"/>
      <c r="C535" s="3"/>
      <c r="D535" s="3"/>
      <c r="E535" s="5"/>
      <c r="F535" s="11"/>
      <c r="G535" s="11"/>
      <c r="H535" s="11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4"/>
      <c r="C536" s="3"/>
      <c r="D536" s="3"/>
      <c r="E536" s="5"/>
      <c r="F536" s="11"/>
      <c r="G536" s="11"/>
      <c r="H536" s="11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4"/>
      <c r="C537" s="3"/>
      <c r="D537" s="3"/>
      <c r="E537" s="5"/>
      <c r="F537" s="11"/>
      <c r="G537" s="11"/>
      <c r="H537" s="11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4"/>
      <c r="C538" s="3"/>
      <c r="D538" s="3"/>
      <c r="E538" s="5"/>
      <c r="F538" s="11"/>
      <c r="G538" s="11"/>
      <c r="H538" s="11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4"/>
      <c r="C539" s="3"/>
      <c r="D539" s="3"/>
      <c r="E539" s="5"/>
      <c r="F539" s="11"/>
      <c r="G539" s="11"/>
      <c r="H539" s="11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4"/>
      <c r="C540" s="3"/>
      <c r="D540" s="3"/>
      <c r="E540" s="5"/>
      <c r="F540" s="11"/>
      <c r="G540" s="11"/>
      <c r="H540" s="11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4"/>
      <c r="C541" s="3"/>
      <c r="D541" s="3"/>
      <c r="E541" s="5"/>
      <c r="F541" s="11"/>
      <c r="G541" s="11"/>
      <c r="H541" s="11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4"/>
      <c r="C542" s="3"/>
      <c r="D542" s="3"/>
      <c r="E542" s="5"/>
      <c r="F542" s="11"/>
      <c r="G542" s="11"/>
      <c r="H542" s="11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4"/>
      <c r="C543" s="3"/>
      <c r="D543" s="3"/>
      <c r="E543" s="5"/>
      <c r="F543" s="11"/>
      <c r="G543" s="11"/>
      <c r="H543" s="11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4"/>
      <c r="C544" s="3"/>
      <c r="D544" s="3"/>
      <c r="E544" s="5"/>
      <c r="F544" s="11"/>
      <c r="G544" s="11"/>
      <c r="H544" s="11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4"/>
      <c r="C545" s="3"/>
      <c r="D545" s="3"/>
      <c r="E545" s="5"/>
      <c r="F545" s="11"/>
      <c r="G545" s="11"/>
      <c r="H545" s="11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4"/>
      <c r="C546" s="3"/>
      <c r="D546" s="3"/>
      <c r="E546" s="5"/>
      <c r="F546" s="11"/>
      <c r="G546" s="11"/>
      <c r="H546" s="11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4"/>
      <c r="C547" s="3"/>
      <c r="D547" s="3"/>
      <c r="E547" s="5"/>
      <c r="F547" s="11"/>
      <c r="G547" s="11"/>
      <c r="H547" s="11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4"/>
      <c r="C548" s="3"/>
      <c r="D548" s="3"/>
      <c r="E548" s="5"/>
      <c r="F548" s="11"/>
      <c r="G548" s="11"/>
      <c r="H548" s="11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4"/>
      <c r="C549" s="3"/>
      <c r="D549" s="3"/>
      <c r="E549" s="5"/>
      <c r="F549" s="11"/>
      <c r="G549" s="11"/>
      <c r="H549" s="11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4"/>
      <c r="C550" s="3"/>
      <c r="D550" s="3"/>
      <c r="E550" s="5"/>
      <c r="F550" s="11"/>
      <c r="G550" s="11"/>
      <c r="H550" s="11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4"/>
      <c r="C551" s="3"/>
      <c r="D551" s="3"/>
      <c r="E551" s="5"/>
      <c r="F551" s="11"/>
      <c r="G551" s="11"/>
      <c r="H551" s="11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4"/>
      <c r="C552" s="3"/>
      <c r="D552" s="3"/>
      <c r="E552" s="5"/>
      <c r="F552" s="11"/>
      <c r="G552" s="11"/>
      <c r="H552" s="11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4"/>
      <c r="C553" s="3"/>
      <c r="D553" s="3"/>
      <c r="E553" s="5"/>
      <c r="F553" s="11"/>
      <c r="G553" s="11"/>
      <c r="H553" s="11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4"/>
      <c r="C554" s="3"/>
      <c r="D554" s="3"/>
      <c r="E554" s="5"/>
      <c r="F554" s="11"/>
      <c r="G554" s="11"/>
      <c r="H554" s="11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4"/>
      <c r="C555" s="3"/>
      <c r="D555" s="3"/>
      <c r="E555" s="5"/>
      <c r="F555" s="11"/>
      <c r="G555" s="11"/>
      <c r="H555" s="11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4"/>
      <c r="C556" s="3"/>
      <c r="D556" s="3"/>
      <c r="E556" s="5"/>
      <c r="F556" s="11"/>
      <c r="G556" s="11"/>
      <c r="H556" s="11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4"/>
      <c r="C557" s="3"/>
      <c r="D557" s="3"/>
      <c r="E557" s="5"/>
      <c r="F557" s="11"/>
      <c r="G557" s="11"/>
      <c r="H557" s="11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4"/>
      <c r="C558" s="3"/>
      <c r="D558" s="3"/>
      <c r="E558" s="5"/>
      <c r="F558" s="11"/>
      <c r="G558" s="11"/>
      <c r="H558" s="11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4"/>
      <c r="C559" s="3"/>
      <c r="D559" s="3"/>
      <c r="E559" s="5"/>
      <c r="F559" s="11"/>
      <c r="G559" s="11"/>
      <c r="H559" s="11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4"/>
      <c r="C560" s="3"/>
      <c r="D560" s="3"/>
      <c r="E560" s="5"/>
      <c r="F560" s="11"/>
      <c r="G560" s="11"/>
      <c r="H560" s="11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4"/>
      <c r="C561" s="3"/>
      <c r="D561" s="3"/>
      <c r="E561" s="5"/>
      <c r="F561" s="11"/>
      <c r="G561" s="11"/>
      <c r="H561" s="11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4"/>
      <c r="C562" s="3"/>
      <c r="D562" s="3"/>
      <c r="E562" s="5"/>
      <c r="F562" s="11"/>
      <c r="G562" s="11"/>
      <c r="H562" s="11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4"/>
      <c r="C563" s="3"/>
      <c r="D563" s="3"/>
      <c r="E563" s="5"/>
      <c r="F563" s="11"/>
      <c r="G563" s="11"/>
      <c r="H563" s="11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4"/>
      <c r="C564" s="3"/>
      <c r="D564" s="3"/>
      <c r="E564" s="5"/>
      <c r="F564" s="11"/>
      <c r="G564" s="11"/>
      <c r="H564" s="11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4"/>
      <c r="C565" s="3"/>
      <c r="D565" s="3"/>
      <c r="E565" s="5"/>
      <c r="F565" s="11"/>
      <c r="G565" s="11"/>
      <c r="H565" s="11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4"/>
      <c r="C566" s="3"/>
      <c r="D566" s="3"/>
      <c r="E566" s="5"/>
      <c r="F566" s="11"/>
      <c r="G566" s="11"/>
      <c r="H566" s="11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4"/>
      <c r="C567" s="3"/>
      <c r="D567" s="3"/>
      <c r="E567" s="5"/>
      <c r="F567" s="11"/>
      <c r="G567" s="11"/>
      <c r="H567" s="11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4"/>
      <c r="C568" s="3"/>
      <c r="D568" s="3"/>
      <c r="E568" s="5"/>
      <c r="F568" s="11"/>
      <c r="G568" s="11"/>
      <c r="H568" s="11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4"/>
      <c r="C569" s="3"/>
      <c r="D569" s="3"/>
      <c r="E569" s="5"/>
      <c r="F569" s="11"/>
      <c r="G569" s="11"/>
      <c r="H569" s="11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4"/>
      <c r="C570" s="3"/>
      <c r="D570" s="3"/>
      <c r="E570" s="5"/>
      <c r="F570" s="11"/>
      <c r="G570" s="11"/>
      <c r="H570" s="11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4"/>
      <c r="C571" s="3"/>
      <c r="D571" s="3"/>
      <c r="E571" s="5"/>
      <c r="F571" s="11"/>
      <c r="G571" s="11"/>
      <c r="H571" s="11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4"/>
      <c r="C572" s="3"/>
      <c r="D572" s="3"/>
      <c r="E572" s="5"/>
      <c r="F572" s="11"/>
      <c r="G572" s="11"/>
      <c r="H572" s="11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4"/>
      <c r="C573" s="3"/>
      <c r="D573" s="3"/>
      <c r="E573" s="5"/>
      <c r="F573" s="11"/>
      <c r="G573" s="11"/>
      <c r="H573" s="11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4"/>
      <c r="C574" s="3"/>
      <c r="D574" s="3"/>
      <c r="E574" s="5"/>
      <c r="F574" s="11"/>
      <c r="G574" s="11"/>
      <c r="H574" s="11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4"/>
      <c r="C575" s="3"/>
      <c r="D575" s="3"/>
      <c r="E575" s="5"/>
      <c r="F575" s="11"/>
      <c r="G575" s="11"/>
      <c r="H575" s="11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4"/>
      <c r="C576" s="3"/>
      <c r="D576" s="3"/>
      <c r="E576" s="5"/>
      <c r="F576" s="11"/>
      <c r="G576" s="11"/>
      <c r="H576" s="11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4"/>
      <c r="C577" s="3"/>
      <c r="D577" s="3"/>
      <c r="E577" s="5"/>
      <c r="F577" s="11"/>
      <c r="G577" s="11"/>
      <c r="H577" s="11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4"/>
      <c r="C578" s="3"/>
      <c r="D578" s="3"/>
      <c r="E578" s="5"/>
      <c r="F578" s="11"/>
      <c r="G578" s="11"/>
      <c r="H578" s="11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4"/>
      <c r="C579" s="3"/>
      <c r="D579" s="3"/>
      <c r="E579" s="5"/>
      <c r="F579" s="11"/>
      <c r="G579" s="11"/>
      <c r="H579" s="11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4"/>
      <c r="C580" s="3"/>
      <c r="D580" s="3"/>
      <c r="E580" s="5"/>
      <c r="F580" s="11"/>
      <c r="G580" s="11"/>
      <c r="H580" s="11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4"/>
      <c r="C581" s="3"/>
      <c r="D581" s="3"/>
      <c r="E581" s="5"/>
      <c r="F581" s="11"/>
      <c r="G581" s="11"/>
      <c r="H581" s="11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4"/>
      <c r="C582" s="3"/>
      <c r="D582" s="3"/>
      <c r="E582" s="5"/>
      <c r="F582" s="11"/>
      <c r="G582" s="11"/>
      <c r="H582" s="11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4"/>
      <c r="C583" s="3"/>
      <c r="D583" s="3"/>
      <c r="E583" s="5"/>
      <c r="F583" s="11"/>
      <c r="G583" s="11"/>
      <c r="H583" s="11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4"/>
      <c r="C584" s="3"/>
      <c r="D584" s="3"/>
      <c r="E584" s="5"/>
      <c r="F584" s="11"/>
      <c r="G584" s="11"/>
      <c r="H584" s="11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4"/>
      <c r="C585" s="3"/>
      <c r="D585" s="3"/>
      <c r="E585" s="5"/>
      <c r="F585" s="11"/>
      <c r="G585" s="11"/>
      <c r="H585" s="11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4"/>
      <c r="C586" s="3"/>
      <c r="D586" s="3"/>
      <c r="E586" s="5"/>
      <c r="F586" s="11"/>
      <c r="G586" s="11"/>
      <c r="H586" s="11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4"/>
      <c r="C587" s="3"/>
      <c r="D587" s="3"/>
      <c r="E587" s="5"/>
      <c r="F587" s="11"/>
      <c r="G587" s="11"/>
      <c r="H587" s="11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4"/>
      <c r="C588" s="3"/>
      <c r="D588" s="3"/>
      <c r="E588" s="5"/>
      <c r="F588" s="11"/>
      <c r="G588" s="11"/>
      <c r="H588" s="11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4"/>
      <c r="C589" s="3"/>
      <c r="D589" s="3"/>
      <c r="E589" s="5"/>
      <c r="F589" s="11"/>
      <c r="G589" s="11"/>
      <c r="H589" s="11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4"/>
      <c r="C590" s="3"/>
      <c r="D590" s="3"/>
      <c r="E590" s="5"/>
      <c r="F590" s="11"/>
      <c r="G590" s="11"/>
      <c r="H590" s="11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4"/>
      <c r="C591" s="3"/>
      <c r="D591" s="3"/>
      <c r="E591" s="5"/>
      <c r="F591" s="11"/>
      <c r="G591" s="11"/>
      <c r="H591" s="11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4"/>
      <c r="C592" s="3"/>
      <c r="D592" s="3"/>
      <c r="E592" s="5"/>
      <c r="F592" s="11"/>
      <c r="G592" s="11"/>
      <c r="H592" s="11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4"/>
      <c r="C593" s="3"/>
      <c r="D593" s="3"/>
      <c r="E593" s="5"/>
      <c r="F593" s="11"/>
      <c r="G593" s="11"/>
      <c r="H593" s="11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4"/>
      <c r="C594" s="3"/>
      <c r="D594" s="3"/>
      <c r="E594" s="5"/>
      <c r="F594" s="11"/>
      <c r="G594" s="11"/>
      <c r="H594" s="11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4"/>
      <c r="C595" s="3"/>
      <c r="D595" s="3"/>
      <c r="E595" s="5"/>
      <c r="F595" s="11"/>
      <c r="G595" s="11"/>
      <c r="H595" s="11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4"/>
      <c r="C596" s="3"/>
      <c r="D596" s="3"/>
      <c r="E596" s="5"/>
      <c r="F596" s="11"/>
      <c r="G596" s="11"/>
      <c r="H596" s="11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4"/>
      <c r="C597" s="3"/>
      <c r="D597" s="3"/>
      <c r="E597" s="5"/>
      <c r="F597" s="11"/>
      <c r="G597" s="11"/>
      <c r="H597" s="11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4"/>
      <c r="C598" s="3"/>
      <c r="D598" s="3"/>
      <c r="E598" s="5"/>
      <c r="F598" s="11"/>
      <c r="G598" s="11"/>
      <c r="H598" s="11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23"/>
      <c r="B599" s="23"/>
      <c r="C599" s="23"/>
      <c r="E599" s="23"/>
    </row>
    <row r="600" ht="15.75" customHeight="1">
      <c r="A600" s="23"/>
      <c r="B600" s="23"/>
      <c r="C600" s="23"/>
      <c r="E600" s="23"/>
    </row>
    <row r="601" ht="15.75" customHeight="1">
      <c r="A601" s="23"/>
      <c r="B601" s="23"/>
      <c r="C601" s="23"/>
      <c r="E601" s="23"/>
    </row>
    <row r="602" ht="15.75" customHeight="1">
      <c r="A602" s="23"/>
      <c r="B602" s="23"/>
      <c r="C602" s="23"/>
      <c r="E602" s="23"/>
    </row>
    <row r="603" ht="15.75" customHeight="1">
      <c r="A603" s="23"/>
      <c r="B603" s="23"/>
      <c r="C603" s="23"/>
      <c r="E603" s="23"/>
    </row>
    <row r="604" ht="15.75" customHeight="1">
      <c r="A604" s="23"/>
      <c r="B604" s="23"/>
      <c r="C604" s="23"/>
      <c r="E604" s="23"/>
    </row>
    <row r="605" ht="15.75" customHeight="1">
      <c r="A605" s="23"/>
      <c r="B605" s="23"/>
      <c r="C605" s="23"/>
      <c r="E605" s="23"/>
    </row>
    <row r="606" ht="15.75" customHeight="1">
      <c r="A606" s="23"/>
      <c r="B606" s="23"/>
      <c r="C606" s="23"/>
      <c r="E606" s="23"/>
    </row>
    <row r="607" ht="15.75" customHeight="1">
      <c r="A607" s="23"/>
      <c r="B607" s="23"/>
      <c r="C607" s="23"/>
      <c r="E607" s="23"/>
    </row>
    <row r="608" ht="15.75" customHeight="1">
      <c r="A608" s="23"/>
      <c r="B608" s="23"/>
      <c r="C608" s="23"/>
      <c r="E608" s="23"/>
    </row>
    <row r="609" ht="15.75" customHeight="1">
      <c r="A609" s="23"/>
      <c r="B609" s="23"/>
      <c r="C609" s="23"/>
      <c r="E609" s="23"/>
    </row>
    <row r="610" ht="15.75" customHeight="1">
      <c r="A610" s="23"/>
      <c r="B610" s="23"/>
      <c r="C610" s="23"/>
      <c r="E610" s="23"/>
    </row>
    <row r="611" ht="15.75" customHeight="1">
      <c r="A611" s="23"/>
      <c r="B611" s="23"/>
      <c r="C611" s="23"/>
      <c r="E611" s="23"/>
    </row>
    <row r="612" ht="15.75" customHeight="1">
      <c r="A612" s="23"/>
      <c r="B612" s="23"/>
      <c r="C612" s="23"/>
      <c r="E612" s="23"/>
    </row>
    <row r="613" ht="15.75" customHeight="1">
      <c r="A613" s="23"/>
      <c r="B613" s="23"/>
      <c r="C613" s="23"/>
      <c r="E613" s="23"/>
    </row>
    <row r="614" ht="15.75" customHeight="1">
      <c r="A614" s="23"/>
      <c r="B614" s="23"/>
      <c r="C614" s="23"/>
      <c r="E614" s="23"/>
    </row>
    <row r="615" ht="15.75" customHeight="1">
      <c r="A615" s="23"/>
      <c r="B615" s="23"/>
      <c r="C615" s="23"/>
      <c r="E615" s="23"/>
    </row>
    <row r="616" ht="15.75" customHeight="1">
      <c r="A616" s="23"/>
      <c r="B616" s="23"/>
      <c r="C616" s="23"/>
      <c r="E616" s="23"/>
    </row>
    <row r="617" ht="15.75" customHeight="1">
      <c r="A617" s="23"/>
      <c r="B617" s="23"/>
      <c r="C617" s="23"/>
      <c r="E617" s="23"/>
    </row>
    <row r="618" ht="15.75" customHeight="1">
      <c r="A618" s="23"/>
      <c r="B618" s="23"/>
      <c r="C618" s="23"/>
      <c r="E618" s="23"/>
    </row>
    <row r="619" ht="15.75" customHeight="1">
      <c r="A619" s="23"/>
      <c r="B619" s="23"/>
      <c r="C619" s="23"/>
      <c r="E619" s="23"/>
    </row>
    <row r="620" ht="15.75" customHeight="1">
      <c r="A620" s="23"/>
      <c r="B620" s="23"/>
      <c r="C620" s="23"/>
      <c r="E620" s="23"/>
    </row>
    <row r="621" ht="15.75" customHeight="1">
      <c r="A621" s="23"/>
      <c r="B621" s="23"/>
      <c r="C621" s="23"/>
      <c r="E621" s="23"/>
    </row>
    <row r="622" ht="15.75" customHeight="1">
      <c r="A622" s="23"/>
      <c r="B622" s="23"/>
      <c r="C622" s="23"/>
      <c r="E622" s="23"/>
    </row>
    <row r="623" ht="15.75" customHeight="1">
      <c r="A623" s="23"/>
      <c r="B623" s="23"/>
      <c r="C623" s="23"/>
      <c r="E623" s="23"/>
    </row>
    <row r="624" ht="15.75" customHeight="1">
      <c r="A624" s="23"/>
      <c r="B624" s="23"/>
      <c r="C624" s="23"/>
      <c r="E624" s="23"/>
    </row>
    <row r="625" ht="15.75" customHeight="1">
      <c r="A625" s="23"/>
      <c r="B625" s="23"/>
      <c r="C625" s="23"/>
      <c r="E625" s="23"/>
    </row>
    <row r="626" ht="15.75" customHeight="1">
      <c r="A626" s="23"/>
      <c r="B626" s="23"/>
      <c r="C626" s="23"/>
      <c r="E626" s="23"/>
    </row>
    <row r="627" ht="15.75" customHeight="1">
      <c r="A627" s="23"/>
      <c r="B627" s="23"/>
      <c r="C627" s="23"/>
      <c r="E627" s="23"/>
    </row>
    <row r="628" ht="15.75" customHeight="1">
      <c r="A628" s="23"/>
      <c r="B628" s="23"/>
      <c r="C628" s="23"/>
      <c r="E628" s="23"/>
    </row>
    <row r="629" ht="15.75" customHeight="1">
      <c r="A629" s="23"/>
      <c r="B629" s="23"/>
      <c r="C629" s="23"/>
      <c r="E629" s="23"/>
    </row>
    <row r="630" ht="15.75" customHeight="1">
      <c r="A630" s="23"/>
      <c r="B630" s="23"/>
      <c r="C630" s="23"/>
      <c r="E630" s="23"/>
    </row>
    <row r="631" ht="15.75" customHeight="1">
      <c r="A631" s="23"/>
      <c r="B631" s="23"/>
      <c r="C631" s="23"/>
      <c r="E631" s="23"/>
    </row>
    <row r="632" ht="15.75" customHeight="1">
      <c r="A632" s="23"/>
      <c r="B632" s="23"/>
      <c r="C632" s="23"/>
      <c r="E632" s="23"/>
    </row>
    <row r="633" ht="15.75" customHeight="1">
      <c r="A633" s="23"/>
      <c r="B633" s="23"/>
      <c r="C633" s="23"/>
      <c r="E633" s="23"/>
    </row>
    <row r="634" ht="15.75" customHeight="1">
      <c r="A634" s="23"/>
      <c r="B634" s="23"/>
      <c r="C634" s="23"/>
      <c r="E634" s="23"/>
    </row>
    <row r="635" ht="15.75" customHeight="1">
      <c r="A635" s="23"/>
      <c r="B635" s="23"/>
      <c r="C635" s="23"/>
      <c r="E635" s="23"/>
    </row>
    <row r="636" ht="15.75" customHeight="1">
      <c r="A636" s="23"/>
      <c r="B636" s="23"/>
      <c r="C636" s="23"/>
      <c r="E636" s="23"/>
    </row>
    <row r="637" ht="15.75" customHeight="1">
      <c r="A637" s="23"/>
      <c r="B637" s="23"/>
      <c r="C637" s="23"/>
      <c r="E637" s="23"/>
    </row>
    <row r="638" ht="15.75" customHeight="1">
      <c r="A638" s="23"/>
      <c r="B638" s="23"/>
      <c r="C638" s="23"/>
      <c r="E638" s="23"/>
    </row>
    <row r="639" ht="15.75" customHeight="1">
      <c r="A639" s="23"/>
      <c r="B639" s="23"/>
      <c r="C639" s="23"/>
      <c r="E639" s="23"/>
    </row>
    <row r="640" ht="15.75" customHeight="1">
      <c r="A640" s="23"/>
      <c r="B640" s="23"/>
      <c r="C640" s="23"/>
      <c r="E640" s="23"/>
    </row>
    <row r="641" ht="15.75" customHeight="1">
      <c r="A641" s="23"/>
      <c r="B641" s="23"/>
      <c r="C641" s="23"/>
      <c r="E641" s="23"/>
    </row>
    <row r="642" ht="15.75" customHeight="1">
      <c r="A642" s="23"/>
      <c r="B642" s="23"/>
      <c r="C642" s="23"/>
      <c r="E642" s="23"/>
    </row>
    <row r="643" ht="15.75" customHeight="1">
      <c r="A643" s="23"/>
      <c r="B643" s="23"/>
      <c r="C643" s="23"/>
      <c r="E643" s="23"/>
    </row>
    <row r="644" ht="15.75" customHeight="1">
      <c r="A644" s="23"/>
      <c r="B644" s="23"/>
      <c r="C644" s="23"/>
      <c r="E644" s="23"/>
    </row>
    <row r="645" ht="15.75" customHeight="1">
      <c r="A645" s="23"/>
      <c r="B645" s="23"/>
      <c r="C645" s="23"/>
      <c r="E645" s="23"/>
    </row>
    <row r="646" ht="15.75" customHeight="1">
      <c r="A646" s="23"/>
      <c r="B646" s="23"/>
      <c r="C646" s="23"/>
      <c r="E646" s="23"/>
    </row>
    <row r="647" ht="15.75" customHeight="1">
      <c r="A647" s="23"/>
      <c r="B647" s="23"/>
      <c r="C647" s="23"/>
      <c r="E647" s="23"/>
    </row>
    <row r="648" ht="15.75" customHeight="1">
      <c r="A648" s="23"/>
      <c r="B648" s="23"/>
      <c r="C648" s="23"/>
      <c r="E648" s="23"/>
    </row>
    <row r="649" ht="15.75" customHeight="1">
      <c r="A649" s="23"/>
      <c r="B649" s="23"/>
      <c r="C649" s="23"/>
      <c r="E649" s="23"/>
    </row>
    <row r="650" ht="15.75" customHeight="1">
      <c r="A650" s="23"/>
      <c r="B650" s="23"/>
      <c r="C650" s="23"/>
      <c r="E650" s="23"/>
    </row>
    <row r="651" ht="15.75" customHeight="1">
      <c r="A651" s="23"/>
      <c r="B651" s="23"/>
      <c r="C651" s="23"/>
      <c r="E651" s="23"/>
    </row>
    <row r="652" ht="15.75" customHeight="1">
      <c r="A652" s="23"/>
      <c r="B652" s="23"/>
      <c r="C652" s="23"/>
      <c r="E652" s="23"/>
    </row>
    <row r="653" ht="15.75" customHeight="1">
      <c r="A653" s="23"/>
      <c r="B653" s="23"/>
      <c r="C653" s="23"/>
      <c r="E653" s="23"/>
    </row>
    <row r="654" ht="15.75" customHeight="1">
      <c r="A654" s="23"/>
      <c r="B654" s="23"/>
      <c r="C654" s="23"/>
      <c r="E654" s="23"/>
    </row>
    <row r="655" ht="15.75" customHeight="1">
      <c r="A655" s="23"/>
      <c r="B655" s="23"/>
      <c r="C655" s="23"/>
      <c r="E655" s="23"/>
    </row>
    <row r="656" ht="15.75" customHeight="1">
      <c r="A656" s="23"/>
      <c r="B656" s="23"/>
      <c r="C656" s="23"/>
      <c r="E656" s="23"/>
    </row>
    <row r="657" ht="15.75" customHeight="1">
      <c r="A657" s="23"/>
      <c r="B657" s="23"/>
      <c r="C657" s="23"/>
      <c r="E657" s="23"/>
    </row>
    <row r="658" ht="15.75" customHeight="1">
      <c r="A658" s="23"/>
      <c r="B658" s="23"/>
      <c r="C658" s="23"/>
      <c r="E658" s="23"/>
    </row>
    <row r="659" ht="15.75" customHeight="1">
      <c r="A659" s="23"/>
      <c r="B659" s="23"/>
      <c r="C659" s="23"/>
      <c r="E659" s="23"/>
    </row>
    <row r="660" ht="15.75" customHeight="1">
      <c r="A660" s="23"/>
      <c r="B660" s="23"/>
      <c r="C660" s="23"/>
      <c r="E660" s="23"/>
    </row>
    <row r="661" ht="15.75" customHeight="1">
      <c r="A661" s="23"/>
      <c r="B661" s="23"/>
      <c r="C661" s="23"/>
      <c r="E661" s="23"/>
    </row>
    <row r="662" ht="15.75" customHeight="1">
      <c r="A662" s="23"/>
      <c r="B662" s="23"/>
      <c r="C662" s="23"/>
      <c r="E662" s="23"/>
    </row>
    <row r="663" ht="15.75" customHeight="1">
      <c r="A663" s="23"/>
      <c r="B663" s="23"/>
      <c r="C663" s="23"/>
      <c r="E663" s="23"/>
    </row>
    <row r="664" ht="15.75" customHeight="1">
      <c r="A664" s="23"/>
      <c r="B664" s="23"/>
      <c r="C664" s="23"/>
      <c r="E664" s="23"/>
    </row>
    <row r="665" ht="15.75" customHeight="1">
      <c r="A665" s="23"/>
      <c r="B665" s="23"/>
      <c r="C665" s="23"/>
      <c r="E665" s="23"/>
    </row>
    <row r="666" ht="15.75" customHeight="1">
      <c r="A666" s="23"/>
      <c r="B666" s="23"/>
      <c r="C666" s="23"/>
      <c r="E666" s="23"/>
    </row>
    <row r="667" ht="15.75" customHeight="1">
      <c r="A667" s="23"/>
      <c r="B667" s="23"/>
      <c r="C667" s="23"/>
      <c r="E667" s="23"/>
    </row>
    <row r="668" ht="15.75" customHeight="1">
      <c r="A668" s="23"/>
      <c r="B668" s="23"/>
      <c r="C668" s="23"/>
      <c r="E668" s="23"/>
    </row>
    <row r="669" ht="15.75" customHeight="1">
      <c r="A669" s="23"/>
      <c r="B669" s="23"/>
      <c r="C669" s="23"/>
      <c r="E669" s="23"/>
    </row>
    <row r="670" ht="15.75" customHeight="1">
      <c r="A670" s="23"/>
      <c r="B670" s="23"/>
      <c r="C670" s="23"/>
      <c r="E670" s="23"/>
    </row>
    <row r="671" ht="15.75" customHeight="1">
      <c r="A671" s="23"/>
      <c r="B671" s="23"/>
      <c r="C671" s="23"/>
      <c r="E671" s="23"/>
    </row>
    <row r="672" ht="15.75" customHeight="1">
      <c r="A672" s="23"/>
      <c r="B672" s="23"/>
      <c r="C672" s="23"/>
      <c r="E672" s="23"/>
    </row>
    <row r="673" ht="15.75" customHeight="1">
      <c r="A673" s="23"/>
      <c r="B673" s="23"/>
      <c r="C673" s="23"/>
      <c r="E673" s="23"/>
    </row>
    <row r="674" ht="15.75" customHeight="1">
      <c r="A674" s="23"/>
      <c r="B674" s="23"/>
      <c r="C674" s="23"/>
      <c r="E674" s="23"/>
    </row>
    <row r="675" ht="15.75" customHeight="1">
      <c r="A675" s="23"/>
      <c r="B675" s="23"/>
      <c r="C675" s="23"/>
      <c r="E675" s="23"/>
    </row>
    <row r="676" ht="15.75" customHeight="1">
      <c r="A676" s="23"/>
      <c r="B676" s="23"/>
      <c r="C676" s="23"/>
      <c r="E676" s="23"/>
    </row>
    <row r="677" ht="15.75" customHeight="1">
      <c r="A677" s="23"/>
      <c r="B677" s="23"/>
      <c r="C677" s="23"/>
      <c r="E677" s="23"/>
    </row>
    <row r="678" ht="15.75" customHeight="1">
      <c r="A678" s="23"/>
      <c r="B678" s="23"/>
      <c r="C678" s="23"/>
      <c r="E678" s="23"/>
    </row>
    <row r="679" ht="15.75" customHeight="1">
      <c r="A679" s="23"/>
      <c r="B679" s="23"/>
      <c r="C679" s="23"/>
      <c r="E679" s="23"/>
    </row>
    <row r="680" ht="15.75" customHeight="1">
      <c r="A680" s="23"/>
      <c r="B680" s="23"/>
      <c r="C680" s="23"/>
      <c r="E680" s="23"/>
    </row>
    <row r="681" ht="15.75" customHeight="1">
      <c r="A681" s="23"/>
      <c r="B681" s="23"/>
      <c r="C681" s="23"/>
      <c r="E681" s="23"/>
    </row>
    <row r="682" ht="15.75" customHeight="1">
      <c r="A682" s="23"/>
      <c r="B682" s="23"/>
      <c r="C682" s="23"/>
      <c r="E682" s="23"/>
    </row>
    <row r="683" ht="15.75" customHeight="1">
      <c r="A683" s="23"/>
      <c r="B683" s="23"/>
      <c r="C683" s="23"/>
      <c r="E683" s="23"/>
    </row>
    <row r="684" ht="15.75" customHeight="1">
      <c r="A684" s="23"/>
      <c r="B684" s="23"/>
      <c r="C684" s="23"/>
      <c r="E684" s="23"/>
    </row>
    <row r="685" ht="15.75" customHeight="1">
      <c r="A685" s="23"/>
      <c r="B685" s="23"/>
      <c r="C685" s="23"/>
      <c r="E685" s="23"/>
    </row>
    <row r="686" ht="15.75" customHeight="1">
      <c r="A686" s="23"/>
      <c r="B686" s="23"/>
      <c r="C686" s="23"/>
      <c r="E686" s="23"/>
    </row>
    <row r="687" ht="15.75" customHeight="1">
      <c r="A687" s="23"/>
      <c r="B687" s="23"/>
      <c r="C687" s="23"/>
      <c r="E687" s="23"/>
    </row>
    <row r="688" ht="15.75" customHeight="1">
      <c r="A688" s="23"/>
      <c r="B688" s="23"/>
      <c r="C688" s="23"/>
      <c r="E688" s="23"/>
    </row>
    <row r="689" ht="15.75" customHeight="1">
      <c r="A689" s="23"/>
      <c r="B689" s="23"/>
      <c r="C689" s="23"/>
      <c r="E689" s="23"/>
    </row>
    <row r="690" ht="15.75" customHeight="1">
      <c r="A690" s="23"/>
      <c r="B690" s="23"/>
      <c r="C690" s="23"/>
      <c r="E690" s="23"/>
    </row>
    <row r="691" ht="15.75" customHeight="1">
      <c r="A691" s="23"/>
      <c r="B691" s="23"/>
      <c r="C691" s="23"/>
      <c r="E691" s="23"/>
    </row>
    <row r="692" ht="15.75" customHeight="1">
      <c r="A692" s="23"/>
      <c r="B692" s="23"/>
      <c r="C692" s="23"/>
      <c r="E692" s="23"/>
    </row>
    <row r="693" ht="15.75" customHeight="1">
      <c r="A693" s="23"/>
      <c r="B693" s="23"/>
      <c r="C693" s="23"/>
      <c r="E693" s="23"/>
    </row>
    <row r="694" ht="15.75" customHeight="1">
      <c r="A694" s="23"/>
      <c r="B694" s="23"/>
      <c r="C694" s="23"/>
      <c r="E694" s="23"/>
    </row>
    <row r="695" ht="15.75" customHeight="1">
      <c r="A695" s="23"/>
      <c r="B695" s="23"/>
      <c r="C695" s="23"/>
      <c r="E695" s="23"/>
    </row>
    <row r="696" ht="15.75" customHeight="1">
      <c r="A696" s="23"/>
      <c r="B696" s="23"/>
      <c r="C696" s="23"/>
      <c r="E696" s="23"/>
    </row>
    <row r="697" ht="15.75" customHeight="1">
      <c r="A697" s="23"/>
      <c r="B697" s="23"/>
      <c r="C697" s="23"/>
      <c r="E697" s="23"/>
    </row>
    <row r="698" ht="15.75" customHeight="1">
      <c r="A698" s="23"/>
      <c r="B698" s="23"/>
      <c r="C698" s="23"/>
      <c r="E698" s="23"/>
    </row>
    <row r="699" ht="15.75" customHeight="1">
      <c r="A699" s="23"/>
      <c r="B699" s="23"/>
      <c r="C699" s="23"/>
      <c r="E699" s="23"/>
    </row>
    <row r="700" ht="15.75" customHeight="1">
      <c r="A700" s="23"/>
      <c r="B700" s="23"/>
      <c r="C700" s="23"/>
      <c r="E700" s="23"/>
    </row>
    <row r="701" ht="15.75" customHeight="1">
      <c r="A701" s="23"/>
      <c r="B701" s="23"/>
      <c r="C701" s="23"/>
      <c r="E701" s="23"/>
    </row>
    <row r="702" ht="15.75" customHeight="1">
      <c r="A702" s="23"/>
      <c r="B702" s="23"/>
      <c r="C702" s="23"/>
      <c r="E702" s="23"/>
    </row>
    <row r="703" ht="15.75" customHeight="1">
      <c r="A703" s="23"/>
      <c r="B703" s="23"/>
      <c r="C703" s="23"/>
      <c r="E703" s="23"/>
    </row>
    <row r="704" ht="15.75" customHeight="1">
      <c r="A704" s="23"/>
      <c r="B704" s="23"/>
      <c r="C704" s="23"/>
      <c r="E704" s="23"/>
    </row>
    <row r="705" ht="15.75" customHeight="1">
      <c r="A705" s="23"/>
      <c r="B705" s="23"/>
      <c r="C705" s="23"/>
      <c r="E705" s="23"/>
    </row>
    <row r="706" ht="15.75" customHeight="1">
      <c r="A706" s="23"/>
      <c r="B706" s="23"/>
      <c r="C706" s="23"/>
      <c r="E706" s="23"/>
    </row>
    <row r="707" ht="15.75" customHeight="1">
      <c r="A707" s="23"/>
      <c r="B707" s="23"/>
      <c r="C707" s="23"/>
      <c r="E707" s="23"/>
    </row>
    <row r="708" ht="15.75" customHeight="1">
      <c r="A708" s="23"/>
      <c r="B708" s="23"/>
      <c r="C708" s="23"/>
      <c r="E708" s="23"/>
    </row>
    <row r="709" ht="15.75" customHeight="1">
      <c r="A709" s="23"/>
      <c r="B709" s="23"/>
      <c r="C709" s="23"/>
      <c r="E709" s="23"/>
    </row>
    <row r="710" ht="15.75" customHeight="1">
      <c r="A710" s="23"/>
      <c r="B710" s="23"/>
      <c r="C710" s="23"/>
      <c r="E710" s="23"/>
    </row>
    <row r="711" ht="15.75" customHeight="1">
      <c r="A711" s="23"/>
      <c r="B711" s="23"/>
      <c r="C711" s="23"/>
      <c r="E711" s="23"/>
    </row>
    <row r="712" ht="15.75" customHeight="1">
      <c r="A712" s="23"/>
      <c r="B712" s="23"/>
      <c r="C712" s="23"/>
      <c r="E712" s="23"/>
    </row>
    <row r="713" ht="15.75" customHeight="1">
      <c r="A713" s="23"/>
      <c r="B713" s="23"/>
      <c r="C713" s="23"/>
      <c r="E713" s="23"/>
    </row>
    <row r="714" ht="15.75" customHeight="1">
      <c r="A714" s="23"/>
      <c r="B714" s="23"/>
      <c r="C714" s="23"/>
      <c r="E714" s="23"/>
    </row>
    <row r="715" ht="15.75" customHeight="1">
      <c r="A715" s="23"/>
      <c r="B715" s="23"/>
      <c r="C715" s="23"/>
      <c r="E715" s="23"/>
    </row>
    <row r="716" ht="15.75" customHeight="1">
      <c r="A716" s="23"/>
      <c r="B716" s="23"/>
      <c r="C716" s="23"/>
      <c r="E716" s="23"/>
    </row>
    <row r="717" ht="15.75" customHeight="1">
      <c r="A717" s="23"/>
      <c r="B717" s="23"/>
      <c r="C717" s="23"/>
      <c r="E717" s="23"/>
    </row>
    <row r="718" ht="15.75" customHeight="1">
      <c r="A718" s="23"/>
      <c r="B718" s="23"/>
      <c r="C718" s="23"/>
      <c r="E718" s="23"/>
    </row>
    <row r="719" ht="15.75" customHeight="1">
      <c r="A719" s="23"/>
      <c r="B719" s="23"/>
      <c r="C719" s="23"/>
      <c r="E719" s="23"/>
    </row>
    <row r="720" ht="15.75" customHeight="1">
      <c r="A720" s="23"/>
      <c r="B720" s="23"/>
      <c r="C720" s="23"/>
      <c r="E720" s="23"/>
    </row>
    <row r="721" ht="15.75" customHeight="1">
      <c r="A721" s="23"/>
      <c r="B721" s="23"/>
      <c r="C721" s="23"/>
      <c r="E721" s="23"/>
    </row>
    <row r="722" ht="15.75" customHeight="1">
      <c r="A722" s="23"/>
      <c r="B722" s="23"/>
      <c r="C722" s="23"/>
      <c r="E722" s="23"/>
    </row>
    <row r="723" ht="15.75" customHeight="1">
      <c r="A723" s="23"/>
      <c r="B723" s="23"/>
      <c r="C723" s="23"/>
      <c r="E723" s="23"/>
    </row>
    <row r="724" ht="15.75" customHeight="1">
      <c r="A724" s="23"/>
      <c r="B724" s="23"/>
      <c r="C724" s="23"/>
      <c r="E724" s="23"/>
    </row>
    <row r="725" ht="15.75" customHeight="1">
      <c r="A725" s="23"/>
      <c r="B725" s="23"/>
      <c r="C725" s="23"/>
      <c r="E725" s="23"/>
    </row>
    <row r="726" ht="15.75" customHeight="1">
      <c r="A726" s="23"/>
      <c r="B726" s="23"/>
      <c r="C726" s="23"/>
      <c r="E726" s="23"/>
    </row>
    <row r="727" ht="15.75" customHeight="1">
      <c r="A727" s="23"/>
      <c r="B727" s="23"/>
      <c r="C727" s="23"/>
      <c r="E727" s="23"/>
    </row>
    <row r="728" ht="15.75" customHeight="1">
      <c r="A728" s="23"/>
      <c r="B728" s="23"/>
      <c r="C728" s="23"/>
      <c r="E728" s="23"/>
    </row>
    <row r="729" ht="15.75" customHeight="1">
      <c r="A729" s="23"/>
      <c r="B729" s="23"/>
      <c r="C729" s="23"/>
      <c r="E729" s="23"/>
    </row>
    <row r="730" ht="15.75" customHeight="1">
      <c r="A730" s="23"/>
      <c r="B730" s="23"/>
      <c r="C730" s="23"/>
      <c r="E730" s="23"/>
    </row>
    <row r="731" ht="15.75" customHeight="1">
      <c r="A731" s="23"/>
      <c r="B731" s="23"/>
      <c r="C731" s="23"/>
      <c r="E731" s="23"/>
    </row>
    <row r="732" ht="15.75" customHeight="1">
      <c r="A732" s="23"/>
      <c r="B732" s="23"/>
      <c r="C732" s="23"/>
      <c r="E732" s="23"/>
    </row>
    <row r="733" ht="15.75" customHeight="1">
      <c r="A733" s="23"/>
      <c r="B733" s="23"/>
      <c r="C733" s="23"/>
      <c r="E733" s="23"/>
    </row>
    <row r="734" ht="15.75" customHeight="1">
      <c r="A734" s="23"/>
      <c r="B734" s="23"/>
      <c r="C734" s="23"/>
      <c r="E734" s="23"/>
    </row>
    <row r="735" ht="15.75" customHeight="1">
      <c r="A735" s="23"/>
      <c r="B735" s="23"/>
      <c r="C735" s="23"/>
      <c r="E735" s="23"/>
    </row>
    <row r="736" ht="15.75" customHeight="1">
      <c r="A736" s="23"/>
      <c r="B736" s="23"/>
      <c r="C736" s="23"/>
      <c r="E736" s="23"/>
    </row>
    <row r="737" ht="15.75" customHeight="1">
      <c r="A737" s="23"/>
      <c r="B737" s="23"/>
      <c r="C737" s="23"/>
      <c r="E737" s="23"/>
    </row>
    <row r="738" ht="15.75" customHeight="1">
      <c r="A738" s="23"/>
      <c r="B738" s="23"/>
      <c r="C738" s="23"/>
      <c r="E738" s="23"/>
    </row>
    <row r="739" ht="15.75" customHeight="1">
      <c r="A739" s="23"/>
      <c r="B739" s="23"/>
      <c r="C739" s="23"/>
      <c r="E739" s="23"/>
    </row>
    <row r="740" ht="15.75" customHeight="1">
      <c r="A740" s="23"/>
      <c r="B740" s="23"/>
      <c r="C740" s="23"/>
      <c r="E740" s="23"/>
    </row>
    <row r="741" ht="15.75" customHeight="1">
      <c r="A741" s="23"/>
      <c r="B741" s="23"/>
      <c r="C741" s="23"/>
      <c r="E741" s="23"/>
    </row>
    <row r="742" ht="15.75" customHeight="1">
      <c r="A742" s="23"/>
      <c r="B742" s="23"/>
      <c r="C742" s="23"/>
      <c r="E742" s="23"/>
    </row>
    <row r="743" ht="15.75" customHeight="1">
      <c r="A743" s="23"/>
      <c r="B743" s="23"/>
      <c r="C743" s="23"/>
      <c r="E743" s="23"/>
    </row>
    <row r="744" ht="15.75" customHeight="1">
      <c r="A744" s="23"/>
      <c r="B744" s="23"/>
      <c r="C744" s="23"/>
      <c r="E744" s="23"/>
    </row>
    <row r="745" ht="15.75" customHeight="1">
      <c r="A745" s="23"/>
      <c r="B745" s="23"/>
      <c r="C745" s="23"/>
      <c r="E745" s="23"/>
    </row>
    <row r="746" ht="15.75" customHeight="1">
      <c r="A746" s="23"/>
      <c r="B746" s="23"/>
      <c r="C746" s="23"/>
      <c r="E746" s="23"/>
    </row>
    <row r="747" ht="15.75" customHeight="1">
      <c r="A747" s="23"/>
      <c r="B747" s="23"/>
      <c r="C747" s="23"/>
      <c r="E747" s="23"/>
    </row>
    <row r="748" ht="15.75" customHeight="1">
      <c r="A748" s="23"/>
      <c r="B748" s="23"/>
      <c r="C748" s="23"/>
      <c r="E748" s="23"/>
    </row>
    <row r="749" ht="15.75" customHeight="1">
      <c r="A749" s="23"/>
      <c r="B749" s="23"/>
      <c r="C749" s="23"/>
      <c r="E749" s="23"/>
    </row>
    <row r="750" ht="15.75" customHeight="1">
      <c r="A750" s="23"/>
      <c r="B750" s="23"/>
      <c r="C750" s="23"/>
      <c r="E750" s="23"/>
    </row>
    <row r="751" ht="15.75" customHeight="1">
      <c r="A751" s="23"/>
      <c r="B751" s="23"/>
      <c r="C751" s="23"/>
      <c r="E751" s="23"/>
    </row>
    <row r="752" ht="15.75" customHeight="1">
      <c r="A752" s="23"/>
      <c r="B752" s="23"/>
      <c r="C752" s="23"/>
      <c r="E752" s="23"/>
    </row>
    <row r="753" ht="15.75" customHeight="1">
      <c r="A753" s="23"/>
      <c r="B753" s="23"/>
      <c r="C753" s="23"/>
      <c r="E753" s="23"/>
    </row>
    <row r="754" ht="15.75" customHeight="1">
      <c r="A754" s="23"/>
      <c r="B754" s="23"/>
      <c r="C754" s="23"/>
      <c r="E754" s="23"/>
    </row>
    <row r="755" ht="15.75" customHeight="1">
      <c r="A755" s="23"/>
      <c r="B755" s="23"/>
      <c r="C755" s="23"/>
      <c r="E755" s="23"/>
    </row>
    <row r="756" ht="15.75" customHeight="1">
      <c r="A756" s="23"/>
      <c r="B756" s="23"/>
      <c r="C756" s="23"/>
      <c r="E756" s="23"/>
    </row>
    <row r="757" ht="15.75" customHeight="1">
      <c r="A757" s="23"/>
      <c r="B757" s="23"/>
      <c r="C757" s="23"/>
      <c r="E757" s="23"/>
    </row>
    <row r="758" ht="15.75" customHeight="1">
      <c r="A758" s="23"/>
      <c r="B758" s="23"/>
      <c r="C758" s="23"/>
      <c r="E758" s="23"/>
    </row>
    <row r="759" ht="15.75" customHeight="1">
      <c r="A759" s="23"/>
      <c r="B759" s="23"/>
      <c r="C759" s="23"/>
      <c r="E759" s="23"/>
    </row>
    <row r="760" ht="15.75" customHeight="1">
      <c r="A760" s="23"/>
      <c r="B760" s="23"/>
      <c r="C760" s="23"/>
      <c r="E760" s="23"/>
    </row>
    <row r="761" ht="15.75" customHeight="1">
      <c r="A761" s="23"/>
      <c r="B761" s="23"/>
      <c r="C761" s="23"/>
      <c r="E761" s="23"/>
    </row>
    <row r="762" ht="15.75" customHeight="1">
      <c r="A762" s="23"/>
      <c r="B762" s="23"/>
      <c r="C762" s="23"/>
      <c r="E762" s="23"/>
    </row>
    <row r="763" ht="15.75" customHeight="1">
      <c r="A763" s="23"/>
      <c r="B763" s="23"/>
      <c r="C763" s="23"/>
      <c r="E763" s="23"/>
    </row>
    <row r="764" ht="15.75" customHeight="1">
      <c r="A764" s="23"/>
      <c r="B764" s="23"/>
      <c r="C764" s="23"/>
      <c r="E764" s="23"/>
    </row>
    <row r="765" ht="15.75" customHeight="1">
      <c r="A765" s="23"/>
      <c r="B765" s="23"/>
      <c r="C765" s="23"/>
      <c r="E765" s="23"/>
    </row>
    <row r="766" ht="15.75" customHeight="1">
      <c r="A766" s="23"/>
      <c r="B766" s="23"/>
      <c r="C766" s="23"/>
      <c r="E766" s="23"/>
    </row>
    <row r="767" ht="15.75" customHeight="1">
      <c r="A767" s="23"/>
      <c r="B767" s="23"/>
      <c r="C767" s="23"/>
      <c r="E767" s="23"/>
    </row>
    <row r="768" ht="15.75" customHeight="1">
      <c r="A768" s="23"/>
      <c r="B768" s="23"/>
      <c r="C768" s="23"/>
      <c r="E768" s="23"/>
    </row>
    <row r="769" ht="15.75" customHeight="1">
      <c r="A769" s="23"/>
      <c r="B769" s="23"/>
      <c r="C769" s="23"/>
      <c r="E769" s="23"/>
    </row>
    <row r="770" ht="15.75" customHeight="1">
      <c r="A770" s="23"/>
      <c r="B770" s="23"/>
      <c r="C770" s="23"/>
      <c r="E770" s="23"/>
    </row>
    <row r="771" ht="15.75" customHeight="1">
      <c r="A771" s="23"/>
      <c r="B771" s="23"/>
      <c r="C771" s="23"/>
      <c r="E771" s="23"/>
    </row>
    <row r="772" ht="15.75" customHeight="1">
      <c r="A772" s="23"/>
      <c r="B772" s="23"/>
      <c r="C772" s="23"/>
      <c r="E772" s="23"/>
    </row>
    <row r="773" ht="15.75" customHeight="1">
      <c r="A773" s="23"/>
      <c r="B773" s="23"/>
      <c r="C773" s="23"/>
      <c r="E773" s="23"/>
    </row>
    <row r="774" ht="15.75" customHeight="1">
      <c r="A774" s="23"/>
      <c r="B774" s="23"/>
      <c r="C774" s="23"/>
      <c r="E774" s="23"/>
    </row>
    <row r="775" ht="15.75" customHeight="1">
      <c r="A775" s="23"/>
      <c r="B775" s="23"/>
      <c r="C775" s="23"/>
      <c r="E775" s="23"/>
    </row>
    <row r="776" ht="15.75" customHeight="1">
      <c r="A776" s="23"/>
      <c r="B776" s="23"/>
      <c r="C776" s="23"/>
      <c r="E776" s="23"/>
    </row>
    <row r="777" ht="15.75" customHeight="1">
      <c r="A777" s="23"/>
      <c r="B777" s="23"/>
      <c r="C777" s="23"/>
      <c r="E777" s="23"/>
    </row>
    <row r="778" ht="15.75" customHeight="1">
      <c r="A778" s="23"/>
      <c r="B778" s="23"/>
      <c r="C778" s="23"/>
      <c r="E778" s="23"/>
    </row>
    <row r="779" ht="15.75" customHeight="1">
      <c r="A779" s="23"/>
      <c r="B779" s="23"/>
      <c r="C779" s="23"/>
      <c r="E779" s="23"/>
    </row>
    <row r="780" ht="15.75" customHeight="1">
      <c r="A780" s="23"/>
      <c r="B780" s="23"/>
      <c r="C780" s="23"/>
      <c r="E780" s="23"/>
    </row>
    <row r="781" ht="15.75" customHeight="1">
      <c r="A781" s="23"/>
      <c r="B781" s="23"/>
      <c r="C781" s="23"/>
      <c r="E781" s="23"/>
    </row>
    <row r="782" ht="15.75" customHeight="1">
      <c r="A782" s="23"/>
      <c r="B782" s="23"/>
      <c r="C782" s="23"/>
      <c r="E782" s="23"/>
    </row>
    <row r="783" ht="15.75" customHeight="1">
      <c r="A783" s="23"/>
      <c r="B783" s="23"/>
      <c r="C783" s="23"/>
      <c r="E783" s="23"/>
    </row>
    <row r="784" ht="15.75" customHeight="1">
      <c r="A784" s="23"/>
      <c r="B784" s="23"/>
      <c r="C784" s="23"/>
      <c r="E784" s="23"/>
    </row>
    <row r="785" ht="15.75" customHeight="1">
      <c r="A785" s="23"/>
      <c r="B785" s="23"/>
      <c r="C785" s="23"/>
      <c r="E785" s="23"/>
    </row>
    <row r="786" ht="15.75" customHeight="1">
      <c r="A786" s="23"/>
      <c r="B786" s="23"/>
      <c r="C786" s="23"/>
      <c r="E786" s="23"/>
    </row>
    <row r="787" ht="15.75" customHeight="1">
      <c r="A787" s="23"/>
      <c r="B787" s="23"/>
      <c r="C787" s="23"/>
      <c r="E787" s="23"/>
    </row>
    <row r="788" ht="15.75" customHeight="1">
      <c r="A788" s="23"/>
      <c r="B788" s="23"/>
      <c r="C788" s="23"/>
      <c r="E788" s="23"/>
    </row>
    <row r="789" ht="15.75" customHeight="1">
      <c r="A789" s="23"/>
      <c r="B789" s="23"/>
      <c r="C789" s="23"/>
      <c r="E789" s="23"/>
    </row>
    <row r="790" ht="15.75" customHeight="1">
      <c r="A790" s="23"/>
      <c r="B790" s="23"/>
      <c r="C790" s="23"/>
      <c r="E790" s="23"/>
    </row>
    <row r="791" ht="15.75" customHeight="1">
      <c r="A791" s="23"/>
      <c r="B791" s="23"/>
      <c r="C791" s="23"/>
      <c r="E791" s="23"/>
    </row>
    <row r="792" ht="15.75" customHeight="1">
      <c r="A792" s="23"/>
      <c r="B792" s="23"/>
      <c r="C792" s="23"/>
      <c r="E792" s="23"/>
    </row>
    <row r="793" ht="15.75" customHeight="1">
      <c r="A793" s="23"/>
      <c r="B793" s="23"/>
      <c r="C793" s="23"/>
      <c r="E793" s="23"/>
    </row>
    <row r="794" ht="15.75" customHeight="1">
      <c r="A794" s="23"/>
      <c r="B794" s="23"/>
      <c r="C794" s="23"/>
      <c r="E794" s="23"/>
    </row>
    <row r="795" ht="15.75" customHeight="1">
      <c r="A795" s="23"/>
      <c r="B795" s="23"/>
      <c r="C795" s="23"/>
      <c r="E795" s="23"/>
    </row>
    <row r="796" ht="15.75" customHeight="1">
      <c r="A796" s="23"/>
      <c r="B796" s="23"/>
      <c r="C796" s="23"/>
      <c r="E796" s="23"/>
    </row>
    <row r="797" ht="15.75" customHeight="1">
      <c r="A797" s="23"/>
      <c r="B797" s="23"/>
      <c r="C797" s="23"/>
      <c r="E797" s="23"/>
    </row>
    <row r="798" ht="15.75" customHeight="1">
      <c r="A798" s="23"/>
      <c r="B798" s="23"/>
      <c r="C798" s="23"/>
      <c r="E798" s="23"/>
    </row>
    <row r="799" ht="15.75" customHeight="1">
      <c r="A799" s="23"/>
      <c r="B799" s="23"/>
      <c r="C799" s="23"/>
      <c r="E799" s="23"/>
    </row>
    <row r="800" ht="15.75" customHeight="1">
      <c r="A800" s="23"/>
      <c r="B800" s="23"/>
      <c r="C800" s="23"/>
      <c r="E800" s="23"/>
    </row>
    <row r="801" ht="15.75" customHeight="1">
      <c r="A801" s="23"/>
      <c r="B801" s="23"/>
      <c r="C801" s="23"/>
      <c r="E801" s="23"/>
    </row>
    <row r="802" ht="15.75" customHeight="1">
      <c r="A802" s="23"/>
      <c r="B802" s="23"/>
      <c r="C802" s="23"/>
      <c r="E802" s="23"/>
    </row>
    <row r="803" ht="15.75" customHeight="1">
      <c r="A803" s="23"/>
      <c r="B803" s="23"/>
      <c r="C803" s="23"/>
      <c r="E803" s="23"/>
    </row>
    <row r="804" ht="15.75" customHeight="1">
      <c r="A804" s="23"/>
      <c r="B804" s="23"/>
      <c r="C804" s="23"/>
      <c r="E804" s="23"/>
    </row>
    <row r="805" ht="15.75" customHeight="1">
      <c r="A805" s="23"/>
      <c r="B805" s="23"/>
      <c r="C805" s="23"/>
      <c r="E805" s="23"/>
    </row>
    <row r="806" ht="15.75" customHeight="1">
      <c r="A806" s="23"/>
      <c r="B806" s="23"/>
      <c r="C806" s="23"/>
      <c r="E806" s="23"/>
    </row>
    <row r="807" ht="15.75" customHeight="1">
      <c r="A807" s="23"/>
      <c r="B807" s="23"/>
      <c r="C807" s="23"/>
      <c r="E807" s="23"/>
    </row>
    <row r="808" ht="15.75" customHeight="1">
      <c r="A808" s="23"/>
      <c r="B808" s="23"/>
      <c r="C808" s="23"/>
      <c r="E808" s="23"/>
    </row>
    <row r="809" ht="15.75" customHeight="1">
      <c r="A809" s="23"/>
      <c r="B809" s="23"/>
      <c r="C809" s="23"/>
      <c r="E809" s="23"/>
    </row>
    <row r="810" ht="15.75" customHeight="1">
      <c r="A810" s="23"/>
      <c r="B810" s="23"/>
      <c r="C810" s="23"/>
      <c r="E810" s="23"/>
    </row>
    <row r="811" ht="15.75" customHeight="1">
      <c r="A811" s="23"/>
      <c r="B811" s="23"/>
      <c r="C811" s="23"/>
      <c r="E811" s="23"/>
    </row>
    <row r="812" ht="15.75" customHeight="1">
      <c r="A812" s="23"/>
      <c r="B812" s="23"/>
      <c r="C812" s="23"/>
      <c r="E812" s="23"/>
    </row>
    <row r="813" ht="15.75" customHeight="1">
      <c r="A813" s="23"/>
      <c r="B813" s="23"/>
      <c r="C813" s="23"/>
      <c r="E813" s="23"/>
    </row>
    <row r="814" ht="15.75" customHeight="1">
      <c r="A814" s="23"/>
      <c r="B814" s="23"/>
      <c r="C814" s="23"/>
      <c r="E814" s="23"/>
    </row>
    <row r="815" ht="15.75" customHeight="1">
      <c r="A815" s="23"/>
      <c r="B815" s="23"/>
      <c r="C815" s="23"/>
      <c r="E815" s="23"/>
    </row>
    <row r="816" ht="15.75" customHeight="1">
      <c r="A816" s="23"/>
      <c r="B816" s="23"/>
      <c r="C816" s="23"/>
      <c r="E816" s="23"/>
    </row>
    <row r="817" ht="15.75" customHeight="1">
      <c r="A817" s="23"/>
      <c r="B817" s="23"/>
      <c r="C817" s="23"/>
      <c r="E817" s="23"/>
    </row>
    <row r="818" ht="15.75" customHeight="1">
      <c r="A818" s="23"/>
      <c r="B818" s="23"/>
      <c r="C818" s="23"/>
      <c r="E818" s="23"/>
    </row>
    <row r="819" ht="15.75" customHeight="1">
      <c r="A819" s="23"/>
      <c r="B819" s="23"/>
      <c r="C819" s="23"/>
      <c r="E819" s="23"/>
    </row>
    <row r="820" ht="15.75" customHeight="1">
      <c r="A820" s="23"/>
      <c r="B820" s="23"/>
      <c r="C820" s="23"/>
      <c r="E820" s="23"/>
    </row>
    <row r="821" ht="15.75" customHeight="1">
      <c r="A821" s="23"/>
      <c r="B821" s="23"/>
      <c r="C821" s="23"/>
      <c r="E821" s="23"/>
    </row>
    <row r="822" ht="15.75" customHeight="1">
      <c r="A822" s="23"/>
      <c r="B822" s="23"/>
      <c r="C822" s="23"/>
      <c r="E822" s="23"/>
    </row>
    <row r="823" ht="15.75" customHeight="1">
      <c r="A823" s="23"/>
      <c r="B823" s="23"/>
      <c r="C823" s="23"/>
      <c r="E823" s="23"/>
    </row>
    <row r="824" ht="15.75" customHeight="1">
      <c r="A824" s="23"/>
      <c r="B824" s="23"/>
      <c r="C824" s="23"/>
      <c r="E824" s="23"/>
    </row>
    <row r="825" ht="15.75" customHeight="1">
      <c r="A825" s="23"/>
      <c r="B825" s="23"/>
      <c r="C825" s="23"/>
      <c r="E825" s="23"/>
    </row>
    <row r="826" ht="15.75" customHeight="1">
      <c r="A826" s="23"/>
      <c r="B826" s="23"/>
      <c r="C826" s="23"/>
      <c r="E826" s="23"/>
    </row>
    <row r="827" ht="15.75" customHeight="1">
      <c r="A827" s="23"/>
      <c r="B827" s="23"/>
      <c r="C827" s="23"/>
      <c r="E827" s="23"/>
    </row>
    <row r="828" ht="15.75" customHeight="1">
      <c r="A828" s="23"/>
      <c r="B828" s="23"/>
      <c r="C828" s="23"/>
      <c r="E828" s="23"/>
    </row>
    <row r="829" ht="15.75" customHeight="1">
      <c r="A829" s="23"/>
      <c r="B829" s="23"/>
      <c r="C829" s="23"/>
      <c r="E829" s="23"/>
    </row>
    <row r="830" ht="15.75" customHeight="1">
      <c r="A830" s="23"/>
      <c r="B830" s="23"/>
      <c r="C830" s="23"/>
      <c r="E830" s="23"/>
    </row>
    <row r="831" ht="15.75" customHeight="1">
      <c r="A831" s="23"/>
      <c r="B831" s="23"/>
      <c r="C831" s="23"/>
      <c r="E831" s="23"/>
    </row>
    <row r="832" ht="15.75" customHeight="1">
      <c r="A832" s="23"/>
      <c r="B832" s="23"/>
      <c r="C832" s="23"/>
      <c r="E832" s="23"/>
    </row>
    <row r="833" ht="15.75" customHeight="1">
      <c r="A833" s="23"/>
      <c r="B833" s="23"/>
      <c r="C833" s="23"/>
      <c r="E833" s="23"/>
    </row>
    <row r="834" ht="15.75" customHeight="1">
      <c r="A834" s="23"/>
      <c r="B834" s="23"/>
      <c r="C834" s="23"/>
      <c r="E834" s="23"/>
    </row>
    <row r="835" ht="15.75" customHeight="1">
      <c r="A835" s="23"/>
      <c r="B835" s="23"/>
      <c r="C835" s="23"/>
      <c r="E835" s="23"/>
    </row>
    <row r="836" ht="15.75" customHeight="1">
      <c r="A836" s="23"/>
      <c r="B836" s="23"/>
      <c r="C836" s="23"/>
      <c r="E836" s="23"/>
    </row>
    <row r="837" ht="15.75" customHeight="1">
      <c r="A837" s="23"/>
      <c r="B837" s="23"/>
      <c r="C837" s="23"/>
      <c r="E837" s="23"/>
    </row>
    <row r="838" ht="15.75" customHeight="1">
      <c r="A838" s="23"/>
      <c r="B838" s="23"/>
      <c r="C838" s="23"/>
      <c r="E838" s="23"/>
    </row>
    <row r="839" ht="15.75" customHeight="1">
      <c r="A839" s="23"/>
      <c r="B839" s="23"/>
      <c r="C839" s="23"/>
      <c r="E839" s="23"/>
    </row>
    <row r="840" ht="15.75" customHeight="1">
      <c r="A840" s="23"/>
      <c r="B840" s="23"/>
      <c r="C840" s="23"/>
      <c r="E840" s="23"/>
    </row>
    <row r="841" ht="15.75" customHeight="1">
      <c r="A841" s="23"/>
      <c r="B841" s="23"/>
      <c r="C841" s="23"/>
      <c r="E841" s="23"/>
    </row>
    <row r="842" ht="15.75" customHeight="1">
      <c r="A842" s="23"/>
      <c r="B842" s="23"/>
      <c r="C842" s="23"/>
      <c r="E842" s="23"/>
    </row>
    <row r="843" ht="15.75" customHeight="1">
      <c r="A843" s="23"/>
      <c r="B843" s="23"/>
      <c r="C843" s="23"/>
      <c r="E843" s="23"/>
    </row>
    <row r="844" ht="15.75" customHeight="1">
      <c r="A844" s="23"/>
      <c r="B844" s="23"/>
      <c r="C844" s="23"/>
      <c r="E844" s="23"/>
    </row>
    <row r="845" ht="15.75" customHeight="1">
      <c r="A845" s="23"/>
      <c r="B845" s="23"/>
      <c r="C845" s="23"/>
      <c r="E845" s="23"/>
    </row>
    <row r="846" ht="15.75" customHeight="1">
      <c r="A846" s="23"/>
      <c r="B846" s="23"/>
      <c r="C846" s="23"/>
      <c r="E846" s="23"/>
    </row>
    <row r="847" ht="15.75" customHeight="1">
      <c r="A847" s="23"/>
      <c r="B847" s="23"/>
      <c r="C847" s="23"/>
      <c r="E847" s="23"/>
    </row>
    <row r="848" ht="15.75" customHeight="1">
      <c r="A848" s="23"/>
      <c r="B848" s="23"/>
      <c r="C848" s="23"/>
      <c r="E848" s="23"/>
    </row>
    <row r="849" ht="15.75" customHeight="1">
      <c r="A849" s="23"/>
      <c r="B849" s="23"/>
      <c r="C849" s="23"/>
      <c r="E849" s="23"/>
    </row>
    <row r="850" ht="15.75" customHeight="1">
      <c r="A850" s="23"/>
      <c r="B850" s="23"/>
      <c r="C850" s="23"/>
      <c r="E850" s="23"/>
    </row>
    <row r="851" ht="15.75" customHeight="1">
      <c r="A851" s="23"/>
      <c r="B851" s="23"/>
      <c r="C851" s="23"/>
      <c r="E851" s="23"/>
    </row>
    <row r="852" ht="15.75" customHeight="1">
      <c r="A852" s="23"/>
      <c r="B852" s="23"/>
      <c r="C852" s="23"/>
      <c r="E852" s="23"/>
    </row>
    <row r="853" ht="15.75" customHeight="1">
      <c r="A853" s="23"/>
      <c r="B853" s="23"/>
      <c r="C853" s="23"/>
      <c r="E853" s="23"/>
    </row>
    <row r="854" ht="15.75" customHeight="1">
      <c r="A854" s="23"/>
      <c r="B854" s="23"/>
      <c r="C854" s="23"/>
      <c r="E854" s="23"/>
    </row>
    <row r="855" ht="15.75" customHeight="1">
      <c r="A855" s="23"/>
      <c r="B855" s="23"/>
      <c r="C855" s="23"/>
      <c r="E855" s="23"/>
    </row>
    <row r="856" ht="15.75" customHeight="1">
      <c r="A856" s="23"/>
      <c r="B856" s="23"/>
      <c r="C856" s="23"/>
      <c r="E856" s="23"/>
    </row>
    <row r="857" ht="15.75" customHeight="1">
      <c r="A857" s="23"/>
      <c r="B857" s="23"/>
      <c r="C857" s="23"/>
      <c r="E857" s="23"/>
    </row>
    <row r="858" ht="15.75" customHeight="1">
      <c r="A858" s="23"/>
      <c r="B858" s="23"/>
      <c r="C858" s="23"/>
      <c r="E858" s="23"/>
    </row>
    <row r="859" ht="15.75" customHeight="1">
      <c r="A859" s="23"/>
      <c r="B859" s="23"/>
      <c r="C859" s="23"/>
      <c r="E859" s="23"/>
    </row>
    <row r="860" ht="15.75" customHeight="1">
      <c r="A860" s="23"/>
      <c r="B860" s="23"/>
      <c r="C860" s="23"/>
      <c r="E860" s="23"/>
    </row>
    <row r="861" ht="15.75" customHeight="1">
      <c r="A861" s="23"/>
      <c r="B861" s="23"/>
      <c r="C861" s="23"/>
      <c r="E861" s="23"/>
    </row>
    <row r="862" ht="15.75" customHeight="1">
      <c r="A862" s="23"/>
      <c r="B862" s="23"/>
      <c r="C862" s="23"/>
      <c r="E862" s="23"/>
    </row>
    <row r="863" ht="15.75" customHeight="1">
      <c r="A863" s="23"/>
      <c r="B863" s="23"/>
      <c r="C863" s="23"/>
      <c r="E863" s="23"/>
    </row>
    <row r="864" ht="15.75" customHeight="1">
      <c r="A864" s="23"/>
      <c r="B864" s="23"/>
      <c r="C864" s="23"/>
      <c r="E864" s="23"/>
    </row>
    <row r="865" ht="15.75" customHeight="1">
      <c r="A865" s="23"/>
      <c r="B865" s="23"/>
      <c r="C865" s="23"/>
      <c r="E865" s="23"/>
    </row>
    <row r="866" ht="15.75" customHeight="1">
      <c r="A866" s="23"/>
      <c r="B866" s="23"/>
      <c r="C866" s="23"/>
      <c r="E866" s="23"/>
    </row>
    <row r="867" ht="15.75" customHeight="1">
      <c r="A867" s="23"/>
      <c r="B867" s="23"/>
      <c r="C867" s="23"/>
      <c r="E867" s="23"/>
    </row>
    <row r="868" ht="15.75" customHeight="1">
      <c r="A868" s="23"/>
      <c r="B868" s="23"/>
      <c r="C868" s="23"/>
      <c r="E868" s="23"/>
    </row>
    <row r="869" ht="15.75" customHeight="1">
      <c r="A869" s="23"/>
      <c r="B869" s="23"/>
      <c r="C869" s="23"/>
      <c r="E869" s="23"/>
    </row>
    <row r="870" ht="15.75" customHeight="1">
      <c r="A870" s="23"/>
      <c r="B870" s="23"/>
      <c r="C870" s="23"/>
      <c r="E870" s="23"/>
    </row>
    <row r="871" ht="15.75" customHeight="1">
      <c r="A871" s="23"/>
      <c r="B871" s="23"/>
      <c r="C871" s="23"/>
      <c r="E871" s="23"/>
    </row>
    <row r="872" ht="15.75" customHeight="1">
      <c r="A872" s="23"/>
      <c r="B872" s="23"/>
      <c r="C872" s="23"/>
      <c r="E872" s="23"/>
    </row>
    <row r="873" ht="15.75" customHeight="1">
      <c r="A873" s="23"/>
      <c r="B873" s="23"/>
      <c r="C873" s="23"/>
      <c r="E873" s="23"/>
    </row>
    <row r="874" ht="15.75" customHeight="1">
      <c r="A874" s="23"/>
      <c r="B874" s="23"/>
      <c r="C874" s="23"/>
      <c r="E874" s="23"/>
    </row>
    <row r="875" ht="15.75" customHeight="1">
      <c r="A875" s="23"/>
      <c r="B875" s="23"/>
      <c r="C875" s="23"/>
      <c r="E875" s="23"/>
    </row>
    <row r="876" ht="15.75" customHeight="1">
      <c r="A876" s="23"/>
      <c r="B876" s="23"/>
      <c r="C876" s="23"/>
      <c r="E876" s="23"/>
    </row>
    <row r="877" ht="15.75" customHeight="1">
      <c r="A877" s="23"/>
      <c r="B877" s="23"/>
      <c r="C877" s="23"/>
      <c r="E877" s="23"/>
    </row>
    <row r="878" ht="15.75" customHeight="1">
      <c r="A878" s="23"/>
      <c r="B878" s="23"/>
      <c r="C878" s="23"/>
      <c r="E878" s="23"/>
    </row>
    <row r="879" ht="15.75" customHeight="1">
      <c r="A879" s="23"/>
      <c r="B879" s="23"/>
      <c r="C879" s="23"/>
      <c r="E879" s="23"/>
    </row>
    <row r="880" ht="15.75" customHeight="1">
      <c r="A880" s="23"/>
      <c r="B880" s="23"/>
      <c r="C880" s="23"/>
      <c r="E880" s="23"/>
    </row>
    <row r="881" ht="15.75" customHeight="1">
      <c r="A881" s="23"/>
      <c r="B881" s="23"/>
      <c r="C881" s="23"/>
      <c r="E881" s="23"/>
    </row>
    <row r="882" ht="15.75" customHeight="1">
      <c r="A882" s="23"/>
      <c r="B882" s="23"/>
      <c r="C882" s="23"/>
      <c r="E882" s="23"/>
    </row>
    <row r="883" ht="15.75" customHeight="1">
      <c r="A883" s="23"/>
      <c r="B883" s="23"/>
      <c r="C883" s="23"/>
      <c r="E883" s="23"/>
    </row>
    <row r="884" ht="15.75" customHeight="1">
      <c r="A884" s="23"/>
      <c r="B884" s="23"/>
      <c r="C884" s="23"/>
      <c r="E884" s="23"/>
    </row>
    <row r="885" ht="15.75" customHeight="1">
      <c r="A885" s="23"/>
      <c r="B885" s="23"/>
      <c r="C885" s="23"/>
      <c r="E885" s="23"/>
    </row>
    <row r="886" ht="15.75" customHeight="1">
      <c r="A886" s="23"/>
      <c r="B886" s="23"/>
      <c r="C886" s="23"/>
      <c r="E886" s="23"/>
    </row>
    <row r="887" ht="15.75" customHeight="1">
      <c r="A887" s="23"/>
      <c r="B887" s="23"/>
      <c r="C887" s="23"/>
      <c r="E887" s="23"/>
    </row>
    <row r="888" ht="15.75" customHeight="1">
      <c r="A888" s="23"/>
      <c r="B888" s="23"/>
      <c r="C888" s="23"/>
      <c r="E888" s="23"/>
    </row>
    <row r="889" ht="15.75" customHeight="1">
      <c r="A889" s="23"/>
      <c r="B889" s="23"/>
      <c r="C889" s="23"/>
      <c r="E889" s="23"/>
    </row>
    <row r="890" ht="15.75" customHeight="1">
      <c r="A890" s="23"/>
      <c r="B890" s="23"/>
      <c r="C890" s="23"/>
      <c r="E890" s="23"/>
    </row>
    <row r="891" ht="15.75" customHeight="1">
      <c r="A891" s="23"/>
      <c r="B891" s="23"/>
      <c r="C891" s="23"/>
      <c r="E891" s="23"/>
    </row>
    <row r="892" ht="15.75" customHeight="1">
      <c r="A892" s="23"/>
      <c r="B892" s="23"/>
      <c r="C892" s="23"/>
      <c r="E892" s="23"/>
    </row>
    <row r="893" ht="15.75" customHeight="1">
      <c r="A893" s="23"/>
      <c r="B893" s="23"/>
      <c r="C893" s="23"/>
      <c r="E893" s="23"/>
    </row>
    <row r="894" ht="15.75" customHeight="1">
      <c r="A894" s="23"/>
      <c r="B894" s="23"/>
      <c r="C894" s="23"/>
      <c r="E894" s="23"/>
    </row>
    <row r="895" ht="15.75" customHeight="1">
      <c r="A895" s="23"/>
      <c r="B895" s="23"/>
      <c r="C895" s="23"/>
      <c r="E895" s="23"/>
    </row>
    <row r="896" ht="15.75" customHeight="1">
      <c r="A896" s="23"/>
      <c r="B896" s="23"/>
      <c r="C896" s="23"/>
      <c r="E896" s="23"/>
    </row>
    <row r="897" ht="15.75" customHeight="1">
      <c r="A897" s="23"/>
      <c r="B897" s="23"/>
      <c r="C897" s="23"/>
      <c r="E897" s="23"/>
    </row>
    <row r="898" ht="15.75" customHeight="1">
      <c r="A898" s="23"/>
      <c r="B898" s="23"/>
      <c r="C898" s="23"/>
      <c r="E898" s="23"/>
    </row>
    <row r="899" ht="15.75" customHeight="1">
      <c r="A899" s="23"/>
      <c r="B899" s="23"/>
      <c r="C899" s="23"/>
      <c r="E899" s="23"/>
    </row>
    <row r="900" ht="15.75" customHeight="1">
      <c r="A900" s="23"/>
      <c r="B900" s="23"/>
      <c r="C900" s="23"/>
      <c r="E900" s="23"/>
    </row>
    <row r="901" ht="15.75" customHeight="1">
      <c r="A901" s="23"/>
      <c r="B901" s="23"/>
      <c r="C901" s="23"/>
      <c r="E901" s="23"/>
    </row>
    <row r="902" ht="15.75" customHeight="1">
      <c r="A902" s="23"/>
      <c r="B902" s="23"/>
      <c r="C902" s="23"/>
      <c r="E902" s="23"/>
    </row>
    <row r="903" ht="15.75" customHeight="1">
      <c r="A903" s="23"/>
      <c r="B903" s="23"/>
      <c r="C903" s="23"/>
      <c r="E903" s="23"/>
    </row>
    <row r="904" ht="15.75" customHeight="1">
      <c r="A904" s="23"/>
      <c r="B904" s="23"/>
      <c r="C904" s="23"/>
      <c r="E904" s="23"/>
    </row>
    <row r="905" ht="15.75" customHeight="1">
      <c r="A905" s="23"/>
      <c r="B905" s="23"/>
      <c r="C905" s="23"/>
      <c r="E905" s="23"/>
    </row>
    <row r="906" ht="15.75" customHeight="1">
      <c r="A906" s="23"/>
      <c r="B906" s="23"/>
      <c r="C906" s="23"/>
      <c r="E906" s="23"/>
    </row>
    <row r="907" ht="15.75" customHeight="1">
      <c r="A907" s="23"/>
      <c r="B907" s="23"/>
      <c r="C907" s="23"/>
      <c r="E907" s="23"/>
    </row>
    <row r="908" ht="15.75" customHeight="1">
      <c r="A908" s="23"/>
      <c r="B908" s="23"/>
      <c r="C908" s="23"/>
      <c r="E908" s="23"/>
    </row>
    <row r="909" ht="15.75" customHeight="1">
      <c r="A909" s="23"/>
      <c r="B909" s="23"/>
      <c r="C909" s="23"/>
      <c r="E909" s="23"/>
    </row>
    <row r="910" ht="15.75" customHeight="1">
      <c r="A910" s="23"/>
      <c r="B910" s="23"/>
      <c r="C910" s="23"/>
      <c r="E910" s="23"/>
    </row>
    <row r="911" ht="15.75" customHeight="1">
      <c r="A911" s="23"/>
      <c r="B911" s="23"/>
      <c r="C911" s="23"/>
      <c r="E911" s="23"/>
    </row>
    <row r="912" ht="15.75" customHeight="1">
      <c r="A912" s="23"/>
      <c r="B912" s="23"/>
      <c r="C912" s="23"/>
      <c r="E912" s="23"/>
    </row>
    <row r="913" ht="15.75" customHeight="1">
      <c r="A913" s="23"/>
      <c r="B913" s="23"/>
      <c r="C913" s="23"/>
      <c r="E913" s="23"/>
    </row>
    <row r="914" ht="15.75" customHeight="1">
      <c r="A914" s="23"/>
      <c r="B914" s="23"/>
      <c r="C914" s="23"/>
      <c r="E914" s="23"/>
    </row>
    <row r="915" ht="15.75" customHeight="1">
      <c r="A915" s="23"/>
      <c r="B915" s="23"/>
      <c r="C915" s="23"/>
      <c r="E915" s="23"/>
    </row>
    <row r="916" ht="15.75" customHeight="1">
      <c r="A916" s="23"/>
      <c r="B916" s="23"/>
      <c r="C916" s="23"/>
      <c r="E916" s="23"/>
    </row>
    <row r="917" ht="15.75" customHeight="1">
      <c r="A917" s="23"/>
      <c r="B917" s="23"/>
      <c r="C917" s="23"/>
      <c r="E917" s="23"/>
    </row>
    <row r="918" ht="15.75" customHeight="1">
      <c r="A918" s="23"/>
      <c r="B918" s="23"/>
      <c r="C918" s="23"/>
      <c r="E918" s="23"/>
    </row>
    <row r="919" ht="15.75" customHeight="1">
      <c r="A919" s="23"/>
      <c r="B919" s="23"/>
      <c r="C919" s="23"/>
      <c r="E919" s="23"/>
    </row>
    <row r="920" ht="15.75" customHeight="1">
      <c r="A920" s="23"/>
      <c r="B920" s="23"/>
      <c r="C920" s="23"/>
      <c r="E920" s="23"/>
    </row>
    <row r="921" ht="15.75" customHeight="1">
      <c r="A921" s="23"/>
      <c r="B921" s="23"/>
      <c r="C921" s="23"/>
      <c r="E921" s="23"/>
    </row>
    <row r="922" ht="15.75" customHeight="1">
      <c r="A922" s="23"/>
      <c r="B922" s="23"/>
      <c r="C922" s="23"/>
      <c r="E922" s="23"/>
    </row>
    <row r="923" ht="15.75" customHeight="1">
      <c r="A923" s="23"/>
      <c r="B923" s="23"/>
      <c r="C923" s="23"/>
      <c r="E923" s="23"/>
    </row>
    <row r="924" ht="15.75" customHeight="1">
      <c r="A924" s="23"/>
      <c r="B924" s="23"/>
      <c r="C924" s="23"/>
      <c r="E924" s="23"/>
    </row>
    <row r="925" ht="15.75" customHeight="1">
      <c r="A925" s="23"/>
      <c r="B925" s="23"/>
      <c r="C925" s="23"/>
      <c r="E925" s="23"/>
    </row>
    <row r="926" ht="15.75" customHeight="1">
      <c r="A926" s="23"/>
      <c r="B926" s="23"/>
      <c r="C926" s="23"/>
      <c r="E926" s="23"/>
    </row>
    <row r="927" ht="15.75" customHeight="1">
      <c r="A927" s="23"/>
      <c r="B927" s="23"/>
      <c r="C927" s="23"/>
      <c r="E927" s="23"/>
    </row>
    <row r="928" ht="15.75" customHeight="1">
      <c r="A928" s="23"/>
      <c r="B928" s="23"/>
      <c r="C928" s="23"/>
      <c r="E928" s="23"/>
    </row>
    <row r="929" ht="15.75" customHeight="1">
      <c r="A929" s="23"/>
      <c r="B929" s="23"/>
      <c r="C929" s="23"/>
      <c r="E929" s="23"/>
    </row>
    <row r="930" ht="15.75" customHeight="1">
      <c r="A930" s="23"/>
      <c r="B930" s="23"/>
      <c r="C930" s="23"/>
      <c r="E930" s="23"/>
    </row>
    <row r="931" ht="15.75" customHeight="1">
      <c r="A931" s="23"/>
      <c r="B931" s="23"/>
      <c r="C931" s="23"/>
      <c r="E931" s="23"/>
    </row>
    <row r="932" ht="15.75" customHeight="1">
      <c r="A932" s="23"/>
      <c r="B932" s="23"/>
      <c r="C932" s="23"/>
      <c r="E932" s="23"/>
    </row>
    <row r="933" ht="15.75" customHeight="1">
      <c r="A933" s="23"/>
      <c r="B933" s="23"/>
      <c r="C933" s="23"/>
      <c r="E933" s="23"/>
    </row>
    <row r="934" ht="15.75" customHeight="1">
      <c r="A934" s="23"/>
      <c r="B934" s="23"/>
      <c r="C934" s="23"/>
      <c r="E934" s="23"/>
    </row>
    <row r="935" ht="15.75" customHeight="1">
      <c r="A935" s="23"/>
      <c r="B935" s="23"/>
      <c r="C935" s="23"/>
      <c r="E935" s="23"/>
    </row>
    <row r="936" ht="15.75" customHeight="1">
      <c r="A936" s="23"/>
      <c r="B936" s="23"/>
      <c r="C936" s="23"/>
      <c r="E936" s="23"/>
    </row>
    <row r="937" ht="15.75" customHeight="1">
      <c r="A937" s="23"/>
      <c r="B937" s="23"/>
      <c r="C937" s="23"/>
      <c r="E937" s="23"/>
    </row>
    <row r="938" ht="15.75" customHeight="1">
      <c r="A938" s="23"/>
      <c r="B938" s="23"/>
      <c r="C938" s="23"/>
      <c r="E938" s="23"/>
    </row>
    <row r="939" ht="15.75" customHeight="1">
      <c r="A939" s="23"/>
      <c r="B939" s="23"/>
      <c r="C939" s="23"/>
      <c r="E939" s="23"/>
    </row>
    <row r="940" ht="15.75" customHeight="1">
      <c r="A940" s="23"/>
      <c r="B940" s="23"/>
      <c r="C940" s="23"/>
      <c r="E940" s="23"/>
    </row>
    <row r="941" ht="15.75" customHeight="1">
      <c r="A941" s="23"/>
      <c r="B941" s="23"/>
      <c r="C941" s="23"/>
      <c r="E941" s="23"/>
    </row>
    <row r="942" ht="15.75" customHeight="1">
      <c r="A942" s="23"/>
      <c r="B942" s="23"/>
      <c r="C942" s="23"/>
      <c r="E942" s="23"/>
    </row>
    <row r="943" ht="15.75" customHeight="1">
      <c r="A943" s="23"/>
      <c r="B943" s="23"/>
      <c r="C943" s="23"/>
      <c r="E943" s="23"/>
    </row>
    <row r="944" ht="15.75" customHeight="1">
      <c r="A944" s="23"/>
      <c r="B944" s="23"/>
      <c r="C944" s="23"/>
      <c r="E944" s="23"/>
    </row>
    <row r="945" ht="15.75" customHeight="1">
      <c r="A945" s="23"/>
      <c r="B945" s="23"/>
      <c r="C945" s="23"/>
      <c r="E945" s="23"/>
    </row>
    <row r="946" ht="15.75" customHeight="1">
      <c r="A946" s="23"/>
      <c r="B946" s="23"/>
      <c r="C946" s="23"/>
      <c r="E946" s="23"/>
    </row>
    <row r="947" ht="15.75" customHeight="1">
      <c r="A947" s="23"/>
      <c r="B947" s="23"/>
      <c r="C947" s="23"/>
      <c r="E947" s="23"/>
    </row>
    <row r="948" ht="15.75" customHeight="1">
      <c r="A948" s="23"/>
      <c r="B948" s="23"/>
      <c r="C948" s="23"/>
      <c r="E948" s="23"/>
    </row>
    <row r="949" ht="15.75" customHeight="1">
      <c r="A949" s="23"/>
      <c r="B949" s="23"/>
      <c r="C949" s="23"/>
      <c r="E949" s="23"/>
    </row>
    <row r="950" ht="15.75" customHeight="1">
      <c r="A950" s="23"/>
      <c r="B950" s="23"/>
      <c r="C950" s="23"/>
      <c r="E950" s="23"/>
    </row>
    <row r="951" ht="15.75" customHeight="1">
      <c r="A951" s="23"/>
      <c r="B951" s="23"/>
      <c r="C951" s="23"/>
      <c r="E951" s="23"/>
    </row>
    <row r="952" ht="15.75" customHeight="1">
      <c r="A952" s="23"/>
      <c r="B952" s="23"/>
      <c r="C952" s="23"/>
      <c r="E952" s="23"/>
    </row>
    <row r="953" ht="15.75" customHeight="1">
      <c r="A953" s="23"/>
      <c r="B953" s="23"/>
      <c r="C953" s="23"/>
      <c r="E953" s="23"/>
    </row>
    <row r="954" ht="15.75" customHeight="1">
      <c r="A954" s="23"/>
      <c r="B954" s="23"/>
      <c r="C954" s="23"/>
      <c r="E954" s="23"/>
    </row>
    <row r="955" ht="15.75" customHeight="1">
      <c r="A955" s="23"/>
      <c r="B955" s="23"/>
      <c r="C955" s="23"/>
      <c r="E955" s="23"/>
    </row>
    <row r="956" ht="15.75" customHeight="1">
      <c r="A956" s="23"/>
      <c r="B956" s="23"/>
      <c r="C956" s="23"/>
      <c r="E956" s="23"/>
    </row>
    <row r="957" ht="15.75" customHeight="1">
      <c r="A957" s="23"/>
      <c r="B957" s="23"/>
      <c r="C957" s="23"/>
      <c r="E957" s="23"/>
    </row>
    <row r="958" ht="15.75" customHeight="1">
      <c r="A958" s="23"/>
      <c r="B958" s="23"/>
      <c r="C958" s="23"/>
      <c r="E958" s="23"/>
    </row>
    <row r="959" ht="15.75" customHeight="1">
      <c r="A959" s="23"/>
      <c r="B959" s="23"/>
      <c r="C959" s="23"/>
      <c r="E959" s="23"/>
    </row>
    <row r="960" ht="15.75" customHeight="1">
      <c r="A960" s="23"/>
      <c r="B960" s="23"/>
      <c r="C960" s="23"/>
      <c r="E960" s="23"/>
    </row>
    <row r="961" ht="15.75" customHeight="1">
      <c r="A961" s="23"/>
      <c r="B961" s="23"/>
      <c r="C961" s="23"/>
      <c r="E961" s="23"/>
    </row>
    <row r="962" ht="15.75" customHeight="1">
      <c r="A962" s="23"/>
      <c r="B962" s="23"/>
      <c r="C962" s="23"/>
      <c r="E962" s="23"/>
    </row>
    <row r="963" ht="15.75" customHeight="1">
      <c r="A963" s="23"/>
      <c r="B963" s="23"/>
      <c r="C963" s="23"/>
      <c r="E963" s="23"/>
    </row>
    <row r="964" ht="15.75" customHeight="1">
      <c r="A964" s="23"/>
      <c r="B964" s="23"/>
      <c r="C964" s="23"/>
      <c r="E964" s="23"/>
    </row>
    <row r="965" ht="15.75" customHeight="1">
      <c r="A965" s="23"/>
      <c r="B965" s="23"/>
      <c r="C965" s="23"/>
      <c r="E965" s="23"/>
    </row>
    <row r="966" ht="15.75" customHeight="1">
      <c r="A966" s="23"/>
      <c r="B966" s="23"/>
      <c r="C966" s="23"/>
      <c r="E966" s="23"/>
    </row>
    <row r="967" ht="15.75" customHeight="1">
      <c r="A967" s="23"/>
      <c r="B967" s="23"/>
      <c r="C967" s="23"/>
      <c r="E967" s="23"/>
    </row>
    <row r="968" ht="15.75" customHeight="1">
      <c r="A968" s="23"/>
      <c r="B968" s="23"/>
      <c r="C968" s="23"/>
      <c r="E968" s="23"/>
    </row>
    <row r="969" ht="15.75" customHeight="1">
      <c r="A969" s="23"/>
      <c r="B969" s="23"/>
      <c r="C969" s="23"/>
      <c r="E969" s="23"/>
    </row>
    <row r="970" ht="15.75" customHeight="1">
      <c r="A970" s="23"/>
      <c r="B970" s="23"/>
      <c r="C970" s="23"/>
      <c r="E970" s="23"/>
    </row>
    <row r="971" ht="15.75" customHeight="1">
      <c r="A971" s="23"/>
      <c r="B971" s="23"/>
      <c r="C971" s="23"/>
      <c r="E971" s="23"/>
    </row>
    <row r="972" ht="15.75" customHeight="1">
      <c r="A972" s="23"/>
      <c r="B972" s="23"/>
      <c r="C972" s="23"/>
      <c r="E972" s="23"/>
    </row>
    <row r="973" ht="15.75" customHeight="1">
      <c r="A973" s="23"/>
      <c r="B973" s="23"/>
      <c r="C973" s="23"/>
      <c r="E973" s="23"/>
    </row>
    <row r="974" ht="15.75" customHeight="1">
      <c r="A974" s="23"/>
      <c r="B974" s="23"/>
      <c r="C974" s="23"/>
      <c r="E974" s="23"/>
    </row>
    <row r="975" ht="15.75" customHeight="1">
      <c r="A975" s="23"/>
      <c r="B975" s="23"/>
      <c r="C975" s="23"/>
      <c r="E975" s="23"/>
    </row>
    <row r="976" ht="15.75" customHeight="1">
      <c r="A976" s="23"/>
      <c r="B976" s="23"/>
      <c r="C976" s="23"/>
      <c r="E976" s="23"/>
    </row>
    <row r="977" ht="15.75" customHeight="1">
      <c r="A977" s="23"/>
      <c r="B977" s="23"/>
      <c r="C977" s="23"/>
      <c r="E977" s="23"/>
    </row>
    <row r="978" ht="15.75" customHeight="1">
      <c r="A978" s="23"/>
      <c r="B978" s="23"/>
      <c r="C978" s="23"/>
      <c r="E978" s="23"/>
    </row>
    <row r="979" ht="15.75" customHeight="1">
      <c r="A979" s="23"/>
      <c r="B979" s="23"/>
      <c r="C979" s="23"/>
      <c r="E979" s="23"/>
    </row>
    <row r="980" ht="15.75" customHeight="1">
      <c r="A980" s="23"/>
      <c r="B980" s="23"/>
      <c r="C980" s="23"/>
      <c r="E980" s="23"/>
    </row>
    <row r="981" ht="15.75" customHeight="1">
      <c r="A981" s="23"/>
      <c r="B981" s="23"/>
      <c r="C981" s="23"/>
      <c r="E981" s="23"/>
    </row>
    <row r="982" ht="15.75" customHeight="1">
      <c r="A982" s="23"/>
      <c r="B982" s="23"/>
      <c r="C982" s="23"/>
      <c r="E982" s="23"/>
    </row>
    <row r="983" ht="15.75" customHeight="1">
      <c r="A983" s="23"/>
      <c r="B983" s="23"/>
      <c r="C983" s="23"/>
      <c r="E983" s="23"/>
    </row>
    <row r="984" ht="15.75" customHeight="1">
      <c r="A984" s="23"/>
      <c r="B984" s="23"/>
      <c r="C984" s="23"/>
      <c r="E984" s="23"/>
    </row>
    <row r="985" ht="15.75" customHeight="1">
      <c r="A985" s="23"/>
      <c r="B985" s="23"/>
      <c r="C985" s="23"/>
      <c r="E985" s="23"/>
    </row>
    <row r="986" ht="15.75" customHeight="1">
      <c r="A986" s="23"/>
      <c r="B986" s="23"/>
      <c r="C986" s="23"/>
      <c r="E986" s="23"/>
    </row>
    <row r="987" ht="15.75" customHeight="1">
      <c r="A987" s="23"/>
      <c r="B987" s="23"/>
      <c r="C987" s="23"/>
      <c r="E987" s="23"/>
    </row>
    <row r="988" ht="15.75" customHeight="1">
      <c r="A988" s="23"/>
      <c r="B988" s="23"/>
      <c r="C988" s="23"/>
      <c r="E988" s="23"/>
    </row>
    <row r="989" ht="15.75" customHeight="1">
      <c r="A989" s="23"/>
      <c r="B989" s="23"/>
      <c r="C989" s="23"/>
      <c r="E989" s="23"/>
    </row>
    <row r="990" ht="15.75" customHeight="1">
      <c r="A990" s="23"/>
      <c r="B990" s="23"/>
      <c r="C990" s="23"/>
      <c r="E990" s="23"/>
    </row>
    <row r="991" ht="15.75" customHeight="1">
      <c r="A991" s="23"/>
      <c r="B991" s="23"/>
      <c r="C991" s="23"/>
      <c r="E991" s="23"/>
    </row>
    <row r="992" ht="15.75" customHeight="1">
      <c r="A992" s="23"/>
      <c r="B992" s="23"/>
      <c r="C992" s="23"/>
      <c r="E992" s="23"/>
    </row>
    <row r="993" ht="15.75" customHeight="1">
      <c r="A993" s="23"/>
      <c r="B993" s="23"/>
      <c r="C993" s="23"/>
      <c r="E993" s="23"/>
    </row>
    <row r="994" ht="15.75" customHeight="1">
      <c r="A994" s="23"/>
      <c r="B994" s="23"/>
      <c r="C994" s="23"/>
      <c r="E994" s="23"/>
    </row>
    <row r="995" ht="15.75" customHeight="1">
      <c r="A995" s="23"/>
      <c r="B995" s="23"/>
      <c r="C995" s="23"/>
      <c r="E995" s="23"/>
    </row>
    <row r="996" ht="15.75" customHeight="1">
      <c r="A996" s="23"/>
      <c r="B996" s="23"/>
      <c r="C996" s="23"/>
      <c r="E996" s="23"/>
    </row>
    <row r="997" ht="15.75" customHeight="1">
      <c r="A997" s="23"/>
      <c r="B997" s="23"/>
      <c r="C997" s="23"/>
      <c r="E997" s="23"/>
    </row>
    <row r="998" ht="15.75" customHeight="1">
      <c r="A998" s="23"/>
      <c r="B998" s="23"/>
      <c r="C998" s="23"/>
      <c r="E998" s="23"/>
    </row>
    <row r="999" ht="15.75" customHeight="1">
      <c r="A999" s="23"/>
      <c r="B999" s="23"/>
      <c r="C999" s="23"/>
      <c r="E999" s="23"/>
    </row>
    <row r="1000" ht="15.75" customHeight="1">
      <c r="A1000" s="23"/>
      <c r="B1000" s="23"/>
      <c r="C1000" s="23"/>
      <c r="E1000" s="23"/>
    </row>
    <row r="1001" ht="15.75" customHeight="1">
      <c r="A1001" s="23"/>
      <c r="B1001" s="23"/>
      <c r="C1001" s="23"/>
      <c r="E1001" s="23"/>
    </row>
    <row r="1002" ht="15.75" customHeight="1">
      <c r="A1002" s="23"/>
      <c r="B1002" s="23"/>
      <c r="C1002" s="23"/>
      <c r="E1002" s="23"/>
    </row>
    <row r="1003" ht="15.75" customHeight="1">
      <c r="A1003" s="23"/>
      <c r="B1003" s="23"/>
      <c r="C1003" s="23"/>
      <c r="E1003" s="23"/>
    </row>
    <row r="1004" ht="15.75" customHeight="1">
      <c r="A1004" s="23"/>
      <c r="B1004" s="23"/>
      <c r="C1004" s="23"/>
      <c r="E1004" s="23"/>
    </row>
    <row r="1005" ht="15.75" customHeight="1">
      <c r="A1005" s="23"/>
      <c r="B1005" s="23"/>
      <c r="C1005" s="23"/>
      <c r="E1005" s="23"/>
    </row>
    <row r="1006" ht="15.75" customHeight="1">
      <c r="A1006" s="23"/>
      <c r="B1006" s="23"/>
      <c r="C1006" s="23"/>
      <c r="E1006" s="23"/>
    </row>
    <row r="1007" ht="15.75" customHeight="1">
      <c r="A1007" s="23"/>
      <c r="B1007" s="23"/>
      <c r="C1007" s="23"/>
      <c r="E1007" s="23"/>
    </row>
    <row r="1008" ht="15.75" customHeight="1">
      <c r="A1008" s="23"/>
      <c r="B1008" s="23"/>
      <c r="C1008" s="23"/>
      <c r="E1008" s="23"/>
    </row>
    <row r="1009" ht="15.75" customHeight="1">
      <c r="A1009" s="23"/>
      <c r="B1009" s="23"/>
      <c r="C1009" s="23"/>
      <c r="E1009" s="23"/>
    </row>
    <row r="1010" ht="15.75" customHeight="1">
      <c r="A1010" s="23"/>
      <c r="B1010" s="23"/>
      <c r="C1010" s="23"/>
      <c r="E1010" s="23"/>
    </row>
    <row r="1011" ht="15.75" customHeight="1">
      <c r="A1011" s="23"/>
      <c r="B1011" s="23"/>
      <c r="C1011" s="23"/>
      <c r="E1011" s="23"/>
    </row>
    <row r="1012" ht="15.75" customHeight="1">
      <c r="A1012" s="23"/>
      <c r="B1012" s="23"/>
      <c r="C1012" s="23"/>
      <c r="E1012" s="23"/>
    </row>
    <row r="1013" ht="15.75" customHeight="1">
      <c r="A1013" s="23"/>
      <c r="B1013" s="23"/>
      <c r="C1013" s="23"/>
      <c r="E1013" s="23"/>
    </row>
    <row r="1014" ht="15.75" customHeight="1">
      <c r="A1014" s="23"/>
      <c r="B1014" s="23"/>
      <c r="C1014" s="23"/>
      <c r="E1014" s="23"/>
    </row>
    <row r="1015" ht="15.75" customHeight="1">
      <c r="A1015" s="23"/>
      <c r="B1015" s="23"/>
      <c r="C1015" s="23"/>
      <c r="E1015" s="23"/>
    </row>
    <row r="1016" ht="15.75" customHeight="1">
      <c r="A1016" s="23"/>
      <c r="B1016" s="23"/>
      <c r="C1016" s="23"/>
      <c r="E1016" s="23"/>
    </row>
    <row r="1017" ht="15.75" customHeight="1">
      <c r="A1017" s="23"/>
      <c r="B1017" s="23"/>
      <c r="C1017" s="23"/>
      <c r="E1017" s="23"/>
    </row>
    <row r="1018" ht="15.75" customHeight="1">
      <c r="A1018" s="23"/>
      <c r="B1018" s="23"/>
      <c r="C1018" s="23"/>
      <c r="E1018" s="23"/>
    </row>
    <row r="1019" ht="15.75" customHeight="1">
      <c r="A1019" s="23"/>
      <c r="B1019" s="23"/>
      <c r="C1019" s="23"/>
      <c r="E1019" s="23"/>
    </row>
    <row r="1020" ht="15.75" customHeight="1">
      <c r="A1020" s="23"/>
      <c r="B1020" s="23"/>
      <c r="C1020" s="23"/>
      <c r="E1020" s="23"/>
    </row>
    <row r="1021" ht="15.75" customHeight="1">
      <c r="A1021" s="23"/>
      <c r="B1021" s="23"/>
      <c r="C1021" s="23"/>
      <c r="E1021" s="23"/>
    </row>
    <row r="1022" ht="15.75" customHeight="1">
      <c r="A1022" s="23"/>
      <c r="B1022" s="23"/>
      <c r="C1022" s="23"/>
      <c r="E1022" s="23"/>
    </row>
    <row r="1023" ht="15.75" customHeight="1">
      <c r="A1023" s="23"/>
      <c r="B1023" s="23"/>
      <c r="C1023" s="23"/>
      <c r="E1023" s="23"/>
    </row>
    <row r="1024" ht="15.75" customHeight="1">
      <c r="A1024" s="23"/>
      <c r="B1024" s="23"/>
      <c r="C1024" s="23"/>
      <c r="E1024" s="23"/>
    </row>
    <row r="1025" ht="15.75" customHeight="1">
      <c r="A1025" s="23"/>
      <c r="B1025" s="23"/>
      <c r="C1025" s="23"/>
      <c r="E1025" s="23"/>
    </row>
    <row r="1026" ht="15.75" customHeight="1">
      <c r="A1026" s="23"/>
      <c r="B1026" s="23"/>
      <c r="C1026" s="23"/>
      <c r="E1026" s="23"/>
    </row>
    <row r="1027" ht="15.75" customHeight="1">
      <c r="A1027" s="23"/>
      <c r="B1027" s="23"/>
      <c r="C1027" s="23"/>
      <c r="E1027" s="23"/>
    </row>
    <row r="1028" ht="15.75" customHeight="1">
      <c r="A1028" s="23"/>
      <c r="B1028" s="23"/>
      <c r="C1028" s="23"/>
      <c r="E1028" s="23"/>
    </row>
    <row r="1029" ht="15.75" customHeight="1">
      <c r="A1029" s="23"/>
      <c r="B1029" s="23"/>
      <c r="C1029" s="23"/>
      <c r="E1029" s="23"/>
    </row>
    <row r="1030" ht="15.75" customHeight="1">
      <c r="A1030" s="23"/>
      <c r="B1030" s="23"/>
      <c r="C1030" s="23"/>
      <c r="E1030" s="23"/>
    </row>
    <row r="1031" ht="15.75" customHeight="1">
      <c r="A1031" s="23"/>
      <c r="B1031" s="23"/>
      <c r="C1031" s="23"/>
      <c r="E1031" s="23"/>
    </row>
    <row r="1032" ht="15.75" customHeight="1">
      <c r="A1032" s="23"/>
      <c r="B1032" s="23"/>
      <c r="C1032" s="23"/>
      <c r="E1032" s="23"/>
    </row>
  </sheetData>
  <autoFilter ref="$A$1:$E$454"/>
  <customSheetViews>
    <customSheetView guid="{C4B8E6D9-615B-4075-B9AC-ADFFBDD99697}" filter="1" showAutoFilter="1">
      <autoFilter ref="$A$1:$I$454">
        <filterColumn colId="2">
          <filters>
            <filter val="Ricardo"/>
          </filters>
        </filterColumn>
      </autoFilter>
      <extLst>
        <ext uri="GoogleSheetsCustomDataVersion1">
          <go:sheetsCustomData xmlns:go="http://customooxmlschemas.google.com/" filterViewId="1533652927"/>
        </ext>
      </extLst>
    </customSheetView>
  </customSheetViews>
  <dataValidations>
    <dataValidation type="custom" allowBlank="1" showDropDown="1" showInputMessage="1" showErrorMessage="1" prompt="Esta data não é válida" sqref="B2:B1032">
      <formula1>OR(NOT(ISERROR(DATEVALUE(B2))), AND(ISNUMBER(B2), LEFT(CELL("format", B2))="D"))</formula1>
    </dataValidation>
    <dataValidation type="decimal" allowBlank="1" showDropDown="1" showInputMessage="1" showErrorMessage="1" prompt="Este não é um número válido" sqref="E2:E1032">
      <formula1>0.0</formula1>
      <formula2>5000000.0</formula2>
    </dataValidation>
    <dataValidation type="list" allowBlank="1" showInputMessage="1" showErrorMessage="1" prompt="Esta não é uma etapa válida" sqref="A2:A1032">
      <formula1>'Rateio e Estimativa somente lei'!$B$4:$B$26</formula1>
    </dataValidation>
    <dataValidation type="list" allowBlank="1" showInputMessage="1" showErrorMessage="1" prompt="Este não é um pagador válido" sqref="C2:C1032">
      <formula1>"Ricardo,Adilson,Felipe"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.13"/>
    <col customWidth="1" min="2" max="2" width="15.13"/>
    <col customWidth="1" min="3" max="6" width="12.63"/>
    <col customWidth="1" min="7" max="7" width="13.5"/>
    <col customWidth="1" min="10" max="10" width="3.38"/>
    <col customWidth="1" min="11" max="11" width="14.38"/>
    <col customWidth="1" min="12" max="12" width="14.0"/>
  </cols>
  <sheetData>
    <row r="1" ht="3.7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16.5" customHeight="1">
      <c r="A2" s="3"/>
      <c r="B2" s="24"/>
      <c r="C2" s="25" t="s">
        <v>405</v>
      </c>
      <c r="D2" s="26"/>
      <c r="E2" s="26"/>
      <c r="F2" s="26"/>
      <c r="G2" s="26"/>
      <c r="H2" s="26"/>
      <c r="I2" s="27"/>
      <c r="J2" s="3"/>
      <c r="K2" s="28" t="s">
        <v>406</v>
      </c>
      <c r="L2" s="26"/>
      <c r="M2" s="26"/>
      <c r="N2" s="27"/>
      <c r="O2" s="3"/>
      <c r="P2" s="3"/>
      <c r="Q2" s="3"/>
      <c r="R2" s="3"/>
      <c r="S2" s="3"/>
      <c r="T2" s="3"/>
      <c r="U2" s="3"/>
      <c r="V2" s="3"/>
      <c r="W2" s="3"/>
      <c r="X2" s="3"/>
    </row>
    <row r="3" ht="33.0" customHeight="1">
      <c r="A3" s="3"/>
      <c r="B3" s="29"/>
      <c r="C3" s="30" t="s">
        <v>9</v>
      </c>
      <c r="D3" s="31" t="s">
        <v>407</v>
      </c>
      <c r="E3" s="30" t="s">
        <v>22</v>
      </c>
      <c r="F3" s="31" t="s">
        <v>407</v>
      </c>
      <c r="G3" s="30" t="s">
        <v>15</v>
      </c>
      <c r="H3" s="31" t="s">
        <v>407</v>
      </c>
      <c r="I3" s="32" t="s">
        <v>408</v>
      </c>
      <c r="J3" s="3"/>
      <c r="K3" s="33" t="s">
        <v>409</v>
      </c>
      <c r="L3" s="34" t="s">
        <v>410</v>
      </c>
      <c r="M3" s="35" t="s">
        <v>411</v>
      </c>
      <c r="N3" s="35" t="s">
        <v>412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ht="14.25" customHeight="1">
      <c r="A4" s="3"/>
      <c r="B4" s="36" t="s">
        <v>16</v>
      </c>
      <c r="C4" s="37">
        <f>SUMIFS('Histórico de Pagamentos'!E:E,'Histórico de Pagamentos'!A:A,B4,'Histórico de Pagamentos'!C:C,C$3)</f>
        <v>90500</v>
      </c>
      <c r="D4" s="38">
        <v>0.5</v>
      </c>
      <c r="E4" s="37">
        <f>SUMIFS('Histórico de Pagamentos'!E:E,'Histórico de Pagamentos'!A:A,B4,'Histórico de Pagamentos'!C:C,E$3)</f>
        <v>0</v>
      </c>
      <c r="F4" s="38">
        <v>0.0</v>
      </c>
      <c r="G4" s="37">
        <f>SUMIFS('Histórico de Pagamentos'!E:E,'Histórico de Pagamentos'!A:A,B4,'Histórico de Pagamentos'!C:C,G$3)</f>
        <v>90500</v>
      </c>
      <c r="H4" s="38">
        <v>0.5</v>
      </c>
      <c r="I4" s="39">
        <f t="shared" ref="I4:I26" si="1">C4+E4+G4</f>
        <v>181000</v>
      </c>
      <c r="J4" s="40"/>
      <c r="K4" s="41">
        <v>180000.0</v>
      </c>
      <c r="L4" s="42">
        <f t="shared" ref="L4:L26" si="2">I4</f>
        <v>181000</v>
      </c>
      <c r="M4" s="43">
        <f t="shared" ref="M4:M26" si="3">IF(L4=0,"",L4-K4)</f>
        <v>1000</v>
      </c>
      <c r="N4" s="44">
        <f t="shared" ref="N4:N27" si="4">IF(L4=0,"",(L4-K4)/K4)</f>
        <v>0.005555555556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ht="15.0" customHeight="1">
      <c r="A5" s="3"/>
      <c r="B5" s="45" t="s">
        <v>11</v>
      </c>
      <c r="C5" s="46">
        <f>SUMIFS('Histórico de Pagamentos'!E:E,'Histórico de Pagamentos'!A:A,B5,'Histórico de Pagamentos'!C:C,C$3)</f>
        <v>4275.92</v>
      </c>
      <c r="D5" s="47">
        <v>0.5103516059</v>
      </c>
      <c r="E5" s="46">
        <f>SUMIFS('Histórico de Pagamentos'!E:E,'Histórico de Pagamentos'!A:A,B5,'Histórico de Pagamentos'!C:C,E$3)</f>
        <v>236.23</v>
      </c>
      <c r="F5" s="47">
        <v>0.02869972264</v>
      </c>
      <c r="G5" s="46">
        <f>SUMIFS('Histórico de Pagamentos'!E:E,'Histórico de Pagamentos'!A:A,B5,'Histórico de Pagamentos'!C:C,G$3)</f>
        <v>7871.36</v>
      </c>
      <c r="H5" s="47">
        <v>0.4609486714</v>
      </c>
      <c r="I5" s="48">
        <f t="shared" si="1"/>
        <v>12383.51</v>
      </c>
      <c r="J5" s="40"/>
      <c r="K5" s="41">
        <v>16000.0</v>
      </c>
      <c r="L5" s="42">
        <f t="shared" si="2"/>
        <v>12383.51</v>
      </c>
      <c r="M5" s="43">
        <f t="shared" si="3"/>
        <v>-3616.49</v>
      </c>
      <c r="N5" s="44">
        <f t="shared" si="4"/>
        <v>-0.226030625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ht="13.5" customHeight="1">
      <c r="A6" s="3"/>
      <c r="B6" s="49" t="s">
        <v>25</v>
      </c>
      <c r="C6" s="37">
        <f>SUMIFS('Histórico de Pagamentos'!E:E,'Histórico de Pagamentos'!A:A,B6,'Histórico de Pagamentos'!C:C,C$3)</f>
        <v>3615.04</v>
      </c>
      <c r="D6" s="38">
        <v>0.4949370485</v>
      </c>
      <c r="E6" s="37">
        <f>SUMIFS('Histórico de Pagamentos'!E:E,'Histórico de Pagamentos'!A:A,B6,'Histórico de Pagamentos'!C:C,E$3)</f>
        <v>2849</v>
      </c>
      <c r="F6" s="38">
        <v>0.3900581048</v>
      </c>
      <c r="G6" s="37">
        <f>SUMIFS('Histórico de Pagamentos'!E:E,'Histórico de Pagamentos'!A:A,B6,'Histórico de Pagamentos'!C:C,G$3)</f>
        <v>840</v>
      </c>
      <c r="H6" s="38">
        <v>0.1150048466</v>
      </c>
      <c r="I6" s="39">
        <f t="shared" si="1"/>
        <v>7304.04</v>
      </c>
      <c r="J6" s="40"/>
      <c r="K6" s="41">
        <v>7000.0</v>
      </c>
      <c r="L6" s="42">
        <f t="shared" si="2"/>
        <v>7304.04</v>
      </c>
      <c r="M6" s="43">
        <f t="shared" si="3"/>
        <v>304.04</v>
      </c>
      <c r="N6" s="44">
        <f t="shared" si="4"/>
        <v>0.04343428571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ht="15.0" customHeight="1">
      <c r="A7" s="3"/>
      <c r="B7" s="45" t="s">
        <v>45</v>
      </c>
      <c r="C7" s="46">
        <f>SUMIFS('Histórico de Pagamentos'!E:E,'Histórico de Pagamentos'!A:A,B7,'Histórico de Pagamentos'!C:C,C$3)</f>
        <v>1800</v>
      </c>
      <c r="D7" s="47">
        <v>0.96</v>
      </c>
      <c r="E7" s="46">
        <f>SUMIFS('Histórico de Pagamentos'!E:E,'Histórico de Pagamentos'!A:A,B7,'Histórico de Pagamentos'!C:C,E$3)</f>
        <v>75</v>
      </c>
      <c r="F7" s="47">
        <v>0.04</v>
      </c>
      <c r="G7" s="46">
        <f>SUMIFS('Histórico de Pagamentos'!E:E,'Histórico de Pagamentos'!A:A,B7,'Histórico de Pagamentos'!C:C,G$3)</f>
        <v>0</v>
      </c>
      <c r="H7" s="47">
        <v>0.0</v>
      </c>
      <c r="I7" s="48">
        <f t="shared" si="1"/>
        <v>1875</v>
      </c>
      <c r="J7" s="40"/>
      <c r="K7" s="41">
        <v>2000.0</v>
      </c>
      <c r="L7" s="42">
        <f t="shared" si="2"/>
        <v>1875</v>
      </c>
      <c r="M7" s="43">
        <f t="shared" si="3"/>
        <v>-125</v>
      </c>
      <c r="N7" s="44">
        <f t="shared" si="4"/>
        <v>-0.0625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ht="13.5" customHeight="1">
      <c r="A8" s="3"/>
      <c r="B8" s="49" t="s">
        <v>42</v>
      </c>
      <c r="C8" s="37">
        <f>SUMIFS('Histórico de Pagamentos'!E:E,'Histórico de Pagamentos'!A:A,B8,'Histórico de Pagamentos'!C:C,C$3)</f>
        <v>29372</v>
      </c>
      <c r="D8" s="38">
        <v>0.8001351175</v>
      </c>
      <c r="E8" s="37">
        <f>SUMIFS('Histórico de Pagamentos'!E:E,'Histórico de Pagamentos'!A:A,B8,'Histórico de Pagamentos'!C:C,E$3)</f>
        <v>1796.8</v>
      </c>
      <c r="F8" s="38">
        <v>0.04894739136</v>
      </c>
      <c r="G8" s="37">
        <f>SUMIFS('Histórico de Pagamentos'!E:E,'Histórico de Pagamentos'!A:A,B8,'Histórico de Pagamentos'!C:C,G$3)</f>
        <v>5540</v>
      </c>
      <c r="H8" s="38">
        <v>0.1509174912</v>
      </c>
      <c r="I8" s="39">
        <f t="shared" si="1"/>
        <v>36708.8</v>
      </c>
      <c r="J8" s="40"/>
      <c r="K8" s="41">
        <v>38000.0</v>
      </c>
      <c r="L8" s="42">
        <f t="shared" si="2"/>
        <v>36708.8</v>
      </c>
      <c r="M8" s="50">
        <f t="shared" si="3"/>
        <v>-1291.2</v>
      </c>
      <c r="N8" s="51">
        <f t="shared" si="4"/>
        <v>-0.03397894737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ht="13.5" customHeight="1">
      <c r="A9" s="3"/>
      <c r="B9" s="45" t="s">
        <v>61</v>
      </c>
      <c r="C9" s="46">
        <f>SUMIFS('Histórico de Pagamentos'!E:E,'Histórico de Pagamentos'!A:A,B9,'Histórico de Pagamentos'!C:C,C$3)</f>
        <v>56389.12</v>
      </c>
      <c r="D9" s="47">
        <v>0.6868285686</v>
      </c>
      <c r="E9" s="46">
        <f>SUMIFS('Histórico de Pagamentos'!E:E,'Histórico de Pagamentos'!A:A,B9,'Histórico de Pagamentos'!C:C,E$3)</f>
        <v>11974.85</v>
      </c>
      <c r="F9" s="47">
        <v>0.1458556027</v>
      </c>
      <c r="G9" s="46">
        <f>SUMIFS('Histórico de Pagamentos'!E:E,'Histórico de Pagamentos'!A:A,B9,'Histórico de Pagamentos'!C:C,G$3)</f>
        <v>13736.75</v>
      </c>
      <c r="H9" s="47">
        <v>0.1673158287</v>
      </c>
      <c r="I9" s="48">
        <f t="shared" si="1"/>
        <v>82100.72</v>
      </c>
      <c r="J9" s="40"/>
      <c r="K9" s="41">
        <v>70000.0</v>
      </c>
      <c r="L9" s="42">
        <f t="shared" si="2"/>
        <v>82100.72</v>
      </c>
      <c r="M9" s="50">
        <f t="shared" si="3"/>
        <v>12100.72</v>
      </c>
      <c r="N9" s="51">
        <f t="shared" si="4"/>
        <v>0.1728674286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ht="14.25" customHeight="1">
      <c r="A10" s="3"/>
      <c r="B10" s="49" t="s">
        <v>103</v>
      </c>
      <c r="C10" s="37">
        <f>SUMIFS('Histórico de Pagamentos'!E:E,'Histórico de Pagamentos'!A:A,B10,'Histórico de Pagamentos'!C:C,C$3)</f>
        <v>28642</v>
      </c>
      <c r="D10" s="38">
        <v>0.8660754945</v>
      </c>
      <c r="E10" s="37">
        <f>SUMIFS('Histórico de Pagamentos'!E:E,'Histórico de Pagamentos'!A:A,B10,'Histórico de Pagamentos'!C:C,E$3)</f>
        <v>4069.02</v>
      </c>
      <c r="F10" s="38">
        <v>0.1230388419</v>
      </c>
      <c r="G10" s="37">
        <f>SUMIFS('Histórico de Pagamentos'!E:E,'Histórico de Pagamentos'!A:A,B10,'Histórico de Pagamentos'!C:C,G$3)</f>
        <v>360</v>
      </c>
      <c r="H10" s="38">
        <v>0.01088566364</v>
      </c>
      <c r="I10" s="39">
        <f t="shared" si="1"/>
        <v>33071.02</v>
      </c>
      <c r="J10" s="40"/>
      <c r="K10" s="41">
        <v>32000.0</v>
      </c>
      <c r="L10" s="42">
        <f t="shared" si="2"/>
        <v>33071.02</v>
      </c>
      <c r="M10" s="50">
        <f t="shared" si="3"/>
        <v>1071.02</v>
      </c>
      <c r="N10" s="51">
        <f t="shared" si="4"/>
        <v>0.033469375</v>
      </c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14.25" customHeight="1">
      <c r="A11" s="3"/>
      <c r="B11" s="45" t="s">
        <v>162</v>
      </c>
      <c r="C11" s="46">
        <f>SUMIFS('Histórico de Pagamentos'!E:E,'Histórico de Pagamentos'!A:A,B11,'Histórico de Pagamentos'!C:C,C$3)</f>
        <v>29800</v>
      </c>
      <c r="D11" s="47">
        <v>0.9797152908</v>
      </c>
      <c r="E11" s="46">
        <f>SUMIFS('Histórico de Pagamentos'!E:E,'Histórico de Pagamentos'!A:A,B11,'Histórico de Pagamentos'!C:C,E$3)</f>
        <v>50</v>
      </c>
      <c r="F11" s="47">
        <v>0.001643817602</v>
      </c>
      <c r="G11" s="46">
        <f>SUMIFS('Histórico de Pagamentos'!E:E,'Histórico de Pagamentos'!A:A,B11,'Histórico de Pagamentos'!C:C,G$3)</f>
        <v>567</v>
      </c>
      <c r="H11" s="47">
        <v>0.01864089161</v>
      </c>
      <c r="I11" s="48">
        <f t="shared" si="1"/>
        <v>30417</v>
      </c>
      <c r="J11" s="40"/>
      <c r="K11" s="41">
        <v>25000.0</v>
      </c>
      <c r="L11" s="42">
        <f t="shared" si="2"/>
        <v>30417</v>
      </c>
      <c r="M11" s="50">
        <f t="shared" si="3"/>
        <v>5417</v>
      </c>
      <c r="N11" s="51">
        <f t="shared" si="4"/>
        <v>0.21668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13.5" customHeight="1">
      <c r="A12" s="3"/>
      <c r="B12" s="49" t="s">
        <v>150</v>
      </c>
      <c r="C12" s="37">
        <f>SUMIFS('Histórico de Pagamentos'!E:E,'Histórico de Pagamentos'!A:A,B12,'Histórico de Pagamentos'!C:C,C$3)</f>
        <v>25471.38</v>
      </c>
      <c r="D12" s="38">
        <v>0.7559197148</v>
      </c>
      <c r="E12" s="37">
        <f>SUMIFS('Histórico de Pagamentos'!E:E,'Histórico de Pagamentos'!A:A,B12,'Histórico de Pagamentos'!C:C,E$3)</f>
        <v>1714.5</v>
      </c>
      <c r="F12" s="38">
        <v>0.05088159146</v>
      </c>
      <c r="G12" s="37">
        <f>SUMIFS('Histórico de Pagamentos'!E:E,'Histórico de Pagamentos'!A:A,B12,'Histórico de Pagamentos'!C:C,G$3)</f>
        <v>6510</v>
      </c>
      <c r="H12" s="38">
        <v>0.1931986937</v>
      </c>
      <c r="I12" s="39">
        <f t="shared" si="1"/>
        <v>33695.88</v>
      </c>
      <c r="J12" s="40"/>
      <c r="K12" s="41">
        <v>15000.0</v>
      </c>
      <c r="L12" s="42">
        <f t="shared" si="2"/>
        <v>33695.88</v>
      </c>
      <c r="M12" s="50">
        <f t="shared" si="3"/>
        <v>18695.88</v>
      </c>
      <c r="N12" s="51">
        <f t="shared" si="4"/>
        <v>1.246392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14.25" customHeight="1">
      <c r="A13" s="3"/>
      <c r="B13" s="45" t="s">
        <v>147</v>
      </c>
      <c r="C13" s="46">
        <f>SUMIFS('Histórico de Pagamentos'!E:E,'Histórico de Pagamentos'!A:A,B13,'Histórico de Pagamentos'!C:C,C$3)</f>
        <v>0</v>
      </c>
      <c r="D13" s="47">
        <v>0.0</v>
      </c>
      <c r="E13" s="46">
        <f>SUMIFS('Histórico de Pagamentos'!E:E,'Histórico de Pagamentos'!A:A,B13,'Histórico de Pagamentos'!C:C,E$3)</f>
        <v>0</v>
      </c>
      <c r="F13" s="47">
        <v>0.0</v>
      </c>
      <c r="G13" s="46">
        <f>SUMIFS('Histórico de Pagamentos'!E:E,'Histórico de Pagamentos'!A:A,B13,'Histórico de Pagamentos'!C:C,G$3)</f>
        <v>3150</v>
      </c>
      <c r="H13" s="47">
        <v>1.0</v>
      </c>
      <c r="I13" s="48">
        <f t="shared" si="1"/>
        <v>3150</v>
      </c>
      <c r="J13" s="40"/>
      <c r="K13" s="41">
        <v>3500.0</v>
      </c>
      <c r="L13" s="42">
        <f t="shared" si="2"/>
        <v>3150</v>
      </c>
      <c r="M13" s="50">
        <f t="shared" si="3"/>
        <v>-350</v>
      </c>
      <c r="N13" s="51">
        <f t="shared" si="4"/>
        <v>-0.1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12.75" customHeight="1">
      <c r="A14" s="3"/>
      <c r="B14" s="49" t="s">
        <v>166</v>
      </c>
      <c r="C14" s="37">
        <f>SUMIFS('Histórico de Pagamentos'!E:E,'Histórico de Pagamentos'!A:A,B14,'Histórico de Pagamentos'!C:C,C$3)</f>
        <v>19875</v>
      </c>
      <c r="D14" s="38">
        <v>1.0</v>
      </c>
      <c r="E14" s="37">
        <f>SUMIFS('Histórico de Pagamentos'!E:E,'Histórico de Pagamentos'!A:A,B14,'Histórico de Pagamentos'!C:C,E$3)</f>
        <v>0</v>
      </c>
      <c r="F14" s="38">
        <v>0.0</v>
      </c>
      <c r="G14" s="37">
        <f>SUMIFS('Histórico de Pagamentos'!E:E,'Histórico de Pagamentos'!A:A,B14,'Histórico de Pagamentos'!C:C,G$3)</f>
        <v>0</v>
      </c>
      <c r="H14" s="38">
        <v>0.0</v>
      </c>
      <c r="I14" s="39">
        <f t="shared" si="1"/>
        <v>19875</v>
      </c>
      <c r="J14" s="40"/>
      <c r="K14" s="41">
        <v>25000.0</v>
      </c>
      <c r="L14" s="42">
        <f t="shared" si="2"/>
        <v>19875</v>
      </c>
      <c r="M14" s="50">
        <f t="shared" si="3"/>
        <v>-5125</v>
      </c>
      <c r="N14" s="51">
        <f t="shared" si="4"/>
        <v>-0.205</v>
      </c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15.75" customHeight="1">
      <c r="A15" s="3"/>
      <c r="B15" s="45" t="s">
        <v>80</v>
      </c>
      <c r="C15" s="46">
        <f>SUMIFS('Histórico de Pagamentos'!E:E,'Histórico de Pagamentos'!A:A,B15,'Histórico de Pagamentos'!C:C,C$3)</f>
        <v>22616.15</v>
      </c>
      <c r="D15" s="47">
        <v>0.9477670966</v>
      </c>
      <c r="E15" s="46">
        <f>SUMIFS('Histórico de Pagamentos'!E:E,'Histórico de Pagamentos'!A:A,B15,'Histórico de Pagamentos'!C:C,E$3)</f>
        <v>862.5</v>
      </c>
      <c r="F15" s="47">
        <v>0.03657855441</v>
      </c>
      <c r="G15" s="46">
        <f>SUMIFS('Histórico de Pagamentos'!E:E,'Histórico de Pagamentos'!A:A,B15,'Histórico de Pagamentos'!C:C,G$3)</f>
        <v>369.12</v>
      </c>
      <c r="H15" s="47">
        <v>0.01565434899</v>
      </c>
      <c r="I15" s="48">
        <f t="shared" si="1"/>
        <v>23847.77</v>
      </c>
      <c r="J15" s="40"/>
      <c r="K15" s="41">
        <v>18000.0</v>
      </c>
      <c r="L15" s="42">
        <f t="shared" si="2"/>
        <v>23847.77</v>
      </c>
      <c r="M15" s="50">
        <f t="shared" si="3"/>
        <v>5847.77</v>
      </c>
      <c r="N15" s="51">
        <f t="shared" si="4"/>
        <v>0.3248761111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12.75" customHeight="1">
      <c r="A16" s="3"/>
      <c r="B16" s="49" t="s">
        <v>33</v>
      </c>
      <c r="C16" s="37">
        <f>SUMIFS('Histórico de Pagamentos'!E:E,'Histórico de Pagamentos'!A:A,B16,'Histórico de Pagamentos'!C:C,C$3)</f>
        <v>18607.13</v>
      </c>
      <c r="D16" s="38">
        <v>0.7843931018</v>
      </c>
      <c r="E16" s="37">
        <f>SUMIFS('Histórico de Pagamentos'!E:E,'Histórico de Pagamentos'!A:A,B16,'Histórico de Pagamentos'!C:C,E$3)</f>
        <v>2326.57</v>
      </c>
      <c r="F16" s="38">
        <v>0.09807775078</v>
      </c>
      <c r="G16" s="37">
        <f>SUMIFS('Histórico de Pagamentos'!E:E,'Histórico de Pagamentos'!A:A,B16,'Histórico de Pagamentos'!C:C,G$3)</f>
        <v>2787.99</v>
      </c>
      <c r="H16" s="38">
        <v>0.1175291474</v>
      </c>
      <c r="I16" s="39">
        <f t="shared" si="1"/>
        <v>23721.69</v>
      </c>
      <c r="J16" s="40"/>
      <c r="K16" s="41">
        <v>18000.0</v>
      </c>
      <c r="L16" s="42">
        <f t="shared" si="2"/>
        <v>23721.69</v>
      </c>
      <c r="M16" s="50">
        <f t="shared" si="3"/>
        <v>5721.69</v>
      </c>
      <c r="N16" s="51">
        <f t="shared" si="4"/>
        <v>0.3178716667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13.5" customHeight="1">
      <c r="A17" s="3"/>
      <c r="B17" s="45" t="s">
        <v>95</v>
      </c>
      <c r="C17" s="46">
        <f>SUMIFS('Histórico de Pagamentos'!E:E,'Histórico de Pagamentos'!A:A,B17,'Histórico de Pagamentos'!C:C,C$3)</f>
        <v>500</v>
      </c>
      <c r="D17" s="47">
        <v>1.0</v>
      </c>
      <c r="E17" s="46">
        <f>SUMIFS('Histórico de Pagamentos'!E:E,'Histórico de Pagamentos'!A:A,B17,'Histórico de Pagamentos'!C:C,E$3)</f>
        <v>0</v>
      </c>
      <c r="F17" s="47">
        <v>0.0</v>
      </c>
      <c r="G17" s="46">
        <f>SUMIFS('Histórico de Pagamentos'!E:E,'Histórico de Pagamentos'!A:A,B17,'Histórico de Pagamentos'!C:C,G$3)</f>
        <v>0</v>
      </c>
      <c r="H17" s="47">
        <v>0.0</v>
      </c>
      <c r="I17" s="48">
        <f t="shared" si="1"/>
        <v>500</v>
      </c>
      <c r="J17" s="40"/>
      <c r="K17" s="41">
        <v>1000.0</v>
      </c>
      <c r="L17" s="42">
        <f t="shared" si="2"/>
        <v>500</v>
      </c>
      <c r="M17" s="50">
        <f t="shared" si="3"/>
        <v>-500</v>
      </c>
      <c r="N17" s="51">
        <f t="shared" si="4"/>
        <v>-0.5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14.25" customHeight="1">
      <c r="A18" s="3"/>
      <c r="B18" s="49" t="s">
        <v>159</v>
      </c>
      <c r="C18" s="37">
        <f>SUMIFS('Histórico de Pagamentos'!E:E,'Histórico de Pagamentos'!A:A,B18,'Histórico de Pagamentos'!C:C,C$3)</f>
        <v>13303.77</v>
      </c>
      <c r="D18" s="38">
        <v>0.4200248344</v>
      </c>
      <c r="E18" s="37">
        <f>SUMIFS('Histórico de Pagamentos'!E:E,'Histórico de Pagamentos'!A:A,B18,'Histórico de Pagamentos'!C:C,E$3)</f>
        <v>8650</v>
      </c>
      <c r="F18" s="38">
        <v>0.2730966348</v>
      </c>
      <c r="G18" s="37">
        <f>SUMIFS('Histórico de Pagamentos'!E:E,'Histórico de Pagamentos'!A:A,B18,'Histórico de Pagamentos'!C:C,G$3)</f>
        <v>9720</v>
      </c>
      <c r="H18" s="38">
        <v>0.3068785307</v>
      </c>
      <c r="I18" s="39">
        <f t="shared" si="1"/>
        <v>31673.77</v>
      </c>
      <c r="J18" s="40"/>
      <c r="K18" s="41">
        <v>30000.0</v>
      </c>
      <c r="L18" s="42">
        <f t="shared" si="2"/>
        <v>31673.77</v>
      </c>
      <c r="M18" s="50">
        <f t="shared" si="3"/>
        <v>1673.77</v>
      </c>
      <c r="N18" s="51">
        <f t="shared" si="4"/>
        <v>0.05579233333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14.25" customHeight="1">
      <c r="A19" s="3"/>
      <c r="B19" s="45" t="s">
        <v>207</v>
      </c>
      <c r="C19" s="46">
        <f>SUMIFS('Histórico de Pagamentos'!E:E,'Histórico de Pagamentos'!A:A,B19,'Histórico de Pagamentos'!C:C,C$3)</f>
        <v>28151.27</v>
      </c>
      <c r="D19" s="47">
        <v>0.6629465621</v>
      </c>
      <c r="E19" s="46">
        <f>SUMIFS('Histórico de Pagamentos'!E:E,'Histórico de Pagamentos'!A:A,B19,'Histórico de Pagamentos'!C:C,E$3)</f>
        <v>3504.25</v>
      </c>
      <c r="F19" s="47">
        <v>0.08252311495</v>
      </c>
      <c r="G19" s="46">
        <f>SUMIFS('Histórico de Pagamentos'!E:E,'Histórico de Pagamentos'!A:A,B19,'Histórico de Pagamentos'!C:C,G$3)</f>
        <v>10808.34</v>
      </c>
      <c r="H19" s="47">
        <v>0.254530323</v>
      </c>
      <c r="I19" s="48">
        <f t="shared" si="1"/>
        <v>42463.86</v>
      </c>
      <c r="J19" s="40"/>
      <c r="K19" s="41">
        <v>32000.0</v>
      </c>
      <c r="L19" s="42">
        <f t="shared" si="2"/>
        <v>42463.86</v>
      </c>
      <c r="M19" s="50">
        <f t="shared" si="3"/>
        <v>10463.86</v>
      </c>
      <c r="N19" s="51">
        <f t="shared" si="4"/>
        <v>0.326995625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5.0" customHeight="1">
      <c r="A20" s="3"/>
      <c r="B20" s="49" t="s">
        <v>141</v>
      </c>
      <c r="C20" s="37">
        <f>SUMIFS('Histórico de Pagamentos'!E:E,'Histórico de Pagamentos'!A:A,B20,'Histórico de Pagamentos'!C:C,C$3)</f>
        <v>39943.91</v>
      </c>
      <c r="D20" s="38">
        <v>0.7682089924</v>
      </c>
      <c r="E20" s="37">
        <f>SUMIFS('Histórico de Pagamentos'!E:E,'Histórico de Pagamentos'!A:A,B20,'Histórico de Pagamentos'!C:C,E$3)</f>
        <v>2344.75</v>
      </c>
      <c r="F20" s="38">
        <v>0.04317146558</v>
      </c>
      <c r="G20" s="37">
        <f>SUMIFS('Histórico de Pagamentos'!E:E,'Histórico de Pagamentos'!A:A,B20,'Histórico de Pagamentos'!C:C,G$3)</f>
        <v>9807.49</v>
      </c>
      <c r="H20" s="38">
        <v>0.188619542</v>
      </c>
      <c r="I20" s="39">
        <f t="shared" si="1"/>
        <v>52096.15</v>
      </c>
      <c r="J20" s="40"/>
      <c r="K20" s="41">
        <v>60000.0</v>
      </c>
      <c r="L20" s="42">
        <f t="shared" si="2"/>
        <v>52096.15</v>
      </c>
      <c r="M20" s="50">
        <f t="shared" si="3"/>
        <v>-7903.85</v>
      </c>
      <c r="N20" s="51">
        <f t="shared" si="4"/>
        <v>-0.1317308333</v>
      </c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15.0" customHeight="1">
      <c r="A21" s="3"/>
      <c r="B21" s="45" t="s">
        <v>181</v>
      </c>
      <c r="C21" s="46">
        <f>SUMIFS('Histórico de Pagamentos'!E:E,'Histórico de Pagamentos'!A:A,B21,'Histórico de Pagamentos'!C:C,C$3)</f>
        <v>5761.48</v>
      </c>
      <c r="D21" s="47">
        <v>0.5642386155</v>
      </c>
      <c r="E21" s="46">
        <f>SUMIFS('Histórico de Pagamentos'!E:E,'Histórico de Pagamentos'!A:A,B21,'Histórico de Pagamentos'!C:C,E$3)</f>
        <v>3102.59</v>
      </c>
      <c r="F21" s="47">
        <v>0.3038457282</v>
      </c>
      <c r="G21" s="46">
        <f>SUMIFS('Histórico de Pagamentos'!E:E,'Histórico de Pagamentos'!A:A,B21,'Histórico de Pagamentos'!C:C,G$3)</f>
        <v>1347</v>
      </c>
      <c r="H21" s="47">
        <v>0.1319156562</v>
      </c>
      <c r="I21" s="48">
        <f t="shared" si="1"/>
        <v>10211.07</v>
      </c>
      <c r="J21" s="40"/>
      <c r="K21" s="41">
        <v>20000.0</v>
      </c>
      <c r="L21" s="42">
        <f t="shared" si="2"/>
        <v>10211.07</v>
      </c>
      <c r="M21" s="50">
        <f t="shared" si="3"/>
        <v>-9788.93</v>
      </c>
      <c r="N21" s="51">
        <f t="shared" si="4"/>
        <v>-0.4894465</v>
      </c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5.0" customHeight="1">
      <c r="A22" s="3"/>
      <c r="B22" s="49" t="s">
        <v>413</v>
      </c>
      <c r="C22" s="37">
        <f>SUMIFS('Histórico de Pagamentos'!E:E,'Histórico de Pagamentos'!A:A,B22,'Histórico de Pagamentos'!C:C,C$3)</f>
        <v>0</v>
      </c>
      <c r="D22" s="38" t="s">
        <v>414</v>
      </c>
      <c r="E22" s="37">
        <f>SUMIFS('Histórico de Pagamentos'!E:E,'Histórico de Pagamentos'!A:A,B22,'Histórico de Pagamentos'!C:C,E$3)</f>
        <v>0</v>
      </c>
      <c r="F22" s="38" t="s">
        <v>414</v>
      </c>
      <c r="G22" s="37">
        <f>SUMIFS('Histórico de Pagamentos'!E:E,'Histórico de Pagamentos'!A:A,B22,'Histórico de Pagamentos'!C:C,G$3)</f>
        <v>0</v>
      </c>
      <c r="H22" s="38" t="s">
        <v>414</v>
      </c>
      <c r="I22" s="39">
        <f t="shared" si="1"/>
        <v>0</v>
      </c>
      <c r="J22" s="40"/>
      <c r="K22" s="41">
        <v>33000.0</v>
      </c>
      <c r="L22" s="42">
        <f t="shared" si="2"/>
        <v>0</v>
      </c>
      <c r="M22" s="50" t="str">
        <f t="shared" si="3"/>
        <v/>
      </c>
      <c r="N22" s="51" t="str">
        <f t="shared" si="4"/>
        <v/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5.0" customHeight="1">
      <c r="A23" s="3"/>
      <c r="B23" s="45" t="s">
        <v>305</v>
      </c>
      <c r="C23" s="46">
        <f>SUMIFS('Histórico de Pagamentos'!E:E,'Histórico de Pagamentos'!A:A,B23,'Histórico de Pagamentos'!C:C,C$3)</f>
        <v>510</v>
      </c>
      <c r="D23" s="47"/>
      <c r="E23" s="46">
        <f>SUMIFS('Histórico de Pagamentos'!E:E,'Histórico de Pagamentos'!A:A,B23,'Histórico de Pagamentos'!C:C,E$3)</f>
        <v>1065</v>
      </c>
      <c r="F23" s="47"/>
      <c r="G23" s="46">
        <f>SUMIFS('Histórico de Pagamentos'!E:E,'Histórico de Pagamentos'!A:A,B23,'Histórico de Pagamentos'!C:C,G$3)</f>
        <v>3536.9</v>
      </c>
      <c r="H23" s="47"/>
      <c r="I23" s="48">
        <f t="shared" si="1"/>
        <v>5111.9</v>
      </c>
      <c r="J23" s="40"/>
      <c r="K23" s="41">
        <v>1600.0</v>
      </c>
      <c r="L23" s="42">
        <f t="shared" si="2"/>
        <v>5111.9</v>
      </c>
      <c r="M23" s="50">
        <f t="shared" si="3"/>
        <v>3511.9</v>
      </c>
      <c r="N23" s="51">
        <f t="shared" si="4"/>
        <v>2.1949375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15.0" customHeight="1">
      <c r="A24" s="3"/>
      <c r="B24" s="49" t="s">
        <v>278</v>
      </c>
      <c r="C24" s="37">
        <f>SUMIFS('Histórico de Pagamentos'!E:E,'Histórico de Pagamentos'!A:A,B24,'Histórico de Pagamentos'!C:C,C$3)</f>
        <v>1810.28</v>
      </c>
      <c r="D24" s="38">
        <v>0.1915192059</v>
      </c>
      <c r="E24" s="37">
        <f>SUMIFS('Histórico de Pagamentos'!E:E,'Histórico de Pagamentos'!A:A,B24,'Histórico de Pagamentos'!C:C,E$3)</f>
        <v>1564.66</v>
      </c>
      <c r="F24" s="38">
        <v>0.4038627536</v>
      </c>
      <c r="G24" s="37">
        <f>SUMIFS('Histórico de Pagamentos'!E:E,'Histórico de Pagamentos'!A:A,B24,'Histórico de Pagamentos'!C:C,G$3)</f>
        <v>300</v>
      </c>
      <c r="H24" s="38">
        <v>0.4046180406</v>
      </c>
      <c r="I24" s="39">
        <f t="shared" si="1"/>
        <v>3674.94</v>
      </c>
      <c r="J24" s="40"/>
      <c r="K24" s="41">
        <v>400.0</v>
      </c>
      <c r="L24" s="42">
        <f t="shared" si="2"/>
        <v>3674.94</v>
      </c>
      <c r="M24" s="50">
        <f t="shared" si="3"/>
        <v>3274.94</v>
      </c>
      <c r="N24" s="51">
        <f t="shared" si="4"/>
        <v>8.18735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5.0" customHeight="1">
      <c r="A25" s="3"/>
      <c r="B25" s="52" t="s">
        <v>27</v>
      </c>
      <c r="C25" s="46">
        <f>SUMIFS('Histórico de Pagamentos'!E:E,'Histórico de Pagamentos'!A:A,B25,'Histórico de Pagamentos'!C:C,C$3)</f>
        <v>6474.76</v>
      </c>
      <c r="D25" s="47">
        <v>0.3425300482</v>
      </c>
      <c r="E25" s="46">
        <f>SUMIFS('Histórico de Pagamentos'!E:E,'Histórico de Pagamentos'!A:A,B25,'Histórico de Pagamentos'!C:C,E$3)</f>
        <v>12092.73</v>
      </c>
      <c r="F25" s="47">
        <v>0.4995612949</v>
      </c>
      <c r="G25" s="46">
        <f>SUMIFS('Histórico de Pagamentos'!E:E,'Histórico de Pagamentos'!A:A,B25,'Histórico de Pagamentos'!C:C,G$3)</f>
        <v>4336.19</v>
      </c>
      <c r="H25" s="47">
        <v>0.157908657</v>
      </c>
      <c r="I25" s="48">
        <f t="shared" si="1"/>
        <v>22903.68</v>
      </c>
      <c r="J25" s="40"/>
      <c r="K25" s="41">
        <v>6000.0</v>
      </c>
      <c r="L25" s="42">
        <f t="shared" si="2"/>
        <v>22903.68</v>
      </c>
      <c r="M25" s="50">
        <f t="shared" si="3"/>
        <v>16903.68</v>
      </c>
      <c r="N25" s="51">
        <f t="shared" si="4"/>
        <v>2.81728</v>
      </c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4.25" customHeight="1">
      <c r="A26" s="3"/>
      <c r="B26" s="53" t="s">
        <v>8</v>
      </c>
      <c r="C26" s="37">
        <f>SUMIFS('Histórico de Pagamentos'!E:E,'Histórico de Pagamentos'!A:A,B26,'Histórico de Pagamentos'!C:C,C$3)</f>
        <v>2458.59</v>
      </c>
      <c r="D26" s="38">
        <v>0.7743810061</v>
      </c>
      <c r="E26" s="37">
        <f>SUMIFS('Histórico de Pagamentos'!E:E,'Histórico de Pagamentos'!A:A,B26,'Histórico de Pagamentos'!C:C,E$3)</f>
        <v>2616.32</v>
      </c>
      <c r="F26" s="38">
        <v>0.2256189939</v>
      </c>
      <c r="G26" s="37">
        <f>SUMIFS('Histórico de Pagamentos'!E:E,'Histórico de Pagamentos'!A:A,B26,'Histórico de Pagamentos'!C:C,G$3)</f>
        <v>0</v>
      </c>
      <c r="H26" s="38">
        <v>0.0</v>
      </c>
      <c r="I26" s="39">
        <f t="shared" si="1"/>
        <v>5074.91</v>
      </c>
      <c r="J26" s="40"/>
      <c r="K26" s="41">
        <v>4500.0</v>
      </c>
      <c r="L26" s="42">
        <f t="shared" si="2"/>
        <v>5074.91</v>
      </c>
      <c r="M26" s="50">
        <f t="shared" si="3"/>
        <v>574.91</v>
      </c>
      <c r="N26" s="51">
        <f t="shared" si="4"/>
        <v>0.1277577778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5.0" customHeight="1">
      <c r="A27" s="3"/>
      <c r="B27" s="54"/>
      <c r="C27" s="55" t="s">
        <v>415</v>
      </c>
      <c r="D27" s="56"/>
      <c r="E27" s="57" t="s">
        <v>416</v>
      </c>
      <c r="F27" s="56"/>
      <c r="G27" s="58" t="s">
        <v>417</v>
      </c>
      <c r="H27" s="56"/>
      <c r="I27" s="54"/>
      <c r="J27" s="3"/>
      <c r="K27" s="59">
        <f t="shared" ref="K27:L27" si="5">SUM(K4:K26)</f>
        <v>638000</v>
      </c>
      <c r="L27" s="60">
        <f t="shared" si="5"/>
        <v>662860.71</v>
      </c>
      <c r="M27" s="61">
        <f>L27-K27</f>
        <v>24860.71</v>
      </c>
      <c r="N27" s="62">
        <f t="shared" si="4"/>
        <v>0.03896663009</v>
      </c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25.5" customHeight="1">
      <c r="A28" s="3"/>
      <c r="B28" s="63" t="s">
        <v>418</v>
      </c>
      <c r="C28" s="64">
        <f>SUM(C4:C26)</f>
        <v>429877.8</v>
      </c>
      <c r="D28" s="65">
        <f>C28/I28</f>
        <v>0.6485190531</v>
      </c>
      <c r="E28" s="66">
        <f>SUM(E4:E26)</f>
        <v>60894.77</v>
      </c>
      <c r="F28" s="67">
        <f>E28/I28</f>
        <v>0.09186661554</v>
      </c>
      <c r="G28" s="68">
        <f>SUM(G4:G26)</f>
        <v>172088.14</v>
      </c>
      <c r="H28" s="69">
        <f>G28/I28</f>
        <v>0.2596143313</v>
      </c>
      <c r="I28" s="70">
        <f>SUM(I4:I26)</f>
        <v>662860.71</v>
      </c>
      <c r="J28" s="3"/>
      <c r="K28" s="71"/>
      <c r="L28" s="71"/>
      <c r="M28" s="72"/>
      <c r="N28" s="72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21.75" customHeight="1">
      <c r="A31" s="3"/>
      <c r="B31" s="73" t="s">
        <v>419</v>
      </c>
      <c r="C31" s="74"/>
      <c r="D31" s="74"/>
      <c r="E31" s="74"/>
      <c r="F31" s="74"/>
      <c r="G31" s="74"/>
      <c r="H31" s="74"/>
      <c r="I31" s="75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5.75" customHeight="1">
      <c r="A32" s="3"/>
      <c r="B32" s="76" t="s">
        <v>420</v>
      </c>
      <c r="C32" s="77" t="s">
        <v>9</v>
      </c>
      <c r="D32" s="78"/>
      <c r="E32" s="79" t="s">
        <v>22</v>
      </c>
      <c r="F32" s="80"/>
      <c r="G32" s="77" t="s">
        <v>15</v>
      </c>
      <c r="H32" s="78"/>
      <c r="I32" s="81" t="s">
        <v>421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9.5" customHeight="1">
      <c r="A33" s="3"/>
      <c r="B33" s="82" t="s">
        <v>422</v>
      </c>
      <c r="C33" s="83">
        <f>I33*D33</f>
        <v>276.6</v>
      </c>
      <c r="D33" s="84">
        <v>0.6915</v>
      </c>
      <c r="E33" s="83">
        <f>I33*F33</f>
        <v>26.92</v>
      </c>
      <c r="F33" s="84">
        <v>0.0673</v>
      </c>
      <c r="G33" s="83">
        <f>I33*H33</f>
        <v>96.48</v>
      </c>
      <c r="H33" s="84">
        <v>0.2412</v>
      </c>
      <c r="I33" s="85">
        <v>400.0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15.75" customHeight="1">
      <c r="A35" s="3"/>
      <c r="B35" s="86" t="s">
        <v>423</v>
      </c>
      <c r="C35" s="87" t="s">
        <v>9</v>
      </c>
      <c r="D35" s="88"/>
      <c r="E35" s="89" t="s">
        <v>22</v>
      </c>
      <c r="F35" s="90"/>
      <c r="G35" s="87" t="s">
        <v>15</v>
      </c>
      <c r="H35" s="88"/>
      <c r="I35" s="91" t="s">
        <v>421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15.75" customHeight="1">
      <c r="A36" s="3"/>
      <c r="B36" s="82" t="s">
        <v>424</v>
      </c>
      <c r="C36" s="83">
        <f>I36*D36</f>
        <v>275.4</v>
      </c>
      <c r="D36" s="84">
        <v>0.6885</v>
      </c>
      <c r="E36" s="83">
        <f>I36*F36</f>
        <v>27.2</v>
      </c>
      <c r="F36" s="84">
        <v>0.068</v>
      </c>
      <c r="G36" s="83">
        <f>I36*H36</f>
        <v>97.36</v>
      </c>
      <c r="H36" s="84">
        <v>0.2434</v>
      </c>
      <c r="I36" s="85">
        <v>400.0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15.75" customHeight="1">
      <c r="A38" s="3"/>
      <c r="B38" s="86" t="s">
        <v>425</v>
      </c>
      <c r="C38" s="87" t="s">
        <v>9</v>
      </c>
      <c r="D38" s="88"/>
      <c r="E38" s="89" t="s">
        <v>22</v>
      </c>
      <c r="F38" s="90"/>
      <c r="G38" s="87" t="s">
        <v>15</v>
      </c>
      <c r="H38" s="88"/>
      <c r="I38" s="91" t="s">
        <v>421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15.75" customHeight="1">
      <c r="A39" s="3"/>
      <c r="B39" s="82" t="s">
        <v>426</v>
      </c>
      <c r="C39" s="83">
        <f>I39*D39</f>
        <v>88.582</v>
      </c>
      <c r="D39" s="84">
        <v>0.6814</v>
      </c>
      <c r="E39" s="83">
        <f>I39*F39</f>
        <v>9.451</v>
      </c>
      <c r="F39" s="84">
        <v>0.0727</v>
      </c>
      <c r="G39" s="83">
        <f>I39*H39</f>
        <v>31.967</v>
      </c>
      <c r="H39" s="84">
        <v>0.2459</v>
      </c>
      <c r="I39" s="85">
        <v>130.0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C2:I2"/>
    <mergeCell ref="K2:N2"/>
    <mergeCell ref="C27:D27"/>
    <mergeCell ref="E27:F27"/>
    <mergeCell ref="G27:H27"/>
    <mergeCell ref="K27:K28"/>
    <mergeCell ref="L27:L28"/>
    <mergeCell ref="E35:F35"/>
    <mergeCell ref="G35:H35"/>
    <mergeCell ref="C38:D38"/>
    <mergeCell ref="E38:F38"/>
    <mergeCell ref="G38:H38"/>
    <mergeCell ref="M27:M28"/>
    <mergeCell ref="N27:N28"/>
    <mergeCell ref="B31:I31"/>
    <mergeCell ref="C32:D32"/>
    <mergeCell ref="E32:F32"/>
    <mergeCell ref="G32:H32"/>
    <mergeCell ref="C35:D35"/>
  </mergeCells>
  <conditionalFormatting sqref="M4:N28">
    <cfRule type="cellIs" dxfId="0" priority="1" operator="greaterThan">
      <formula>0</formula>
    </cfRule>
  </conditionalFormatting>
  <conditionalFormatting sqref="M4:N28">
    <cfRule type="cellIs" dxfId="1" priority="2" operator="lessThanOr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5.0"/>
    <col customWidth="1" min="3" max="6" width="21.88"/>
    <col customWidth="1" min="7" max="7" width="25.38"/>
  </cols>
  <sheetData>
    <row r="1">
      <c r="A1" s="92"/>
      <c r="B1" s="93"/>
      <c r="C1" s="94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</row>
    <row r="2">
      <c r="A2" s="92"/>
      <c r="B2" s="93" t="s">
        <v>427</v>
      </c>
      <c r="C2" s="95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</row>
    <row r="3">
      <c r="A3" s="92"/>
      <c r="B3" s="93" t="s">
        <v>428</v>
      </c>
      <c r="C3" s="96" t="s">
        <v>429</v>
      </c>
      <c r="D3" s="96" t="s">
        <v>430</v>
      </c>
      <c r="E3" s="96" t="s">
        <v>431</v>
      </c>
      <c r="F3" s="96"/>
      <c r="G3" s="96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</row>
    <row r="4">
      <c r="A4" s="92"/>
      <c r="B4" s="97" t="s">
        <v>432</v>
      </c>
      <c r="C4" s="98">
        <v>660000.0</v>
      </c>
      <c r="D4" s="98">
        <v>660000.0</v>
      </c>
      <c r="E4" s="98">
        <v>660000.0</v>
      </c>
      <c r="F4" s="98"/>
      <c r="G4" s="98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</row>
    <row r="5">
      <c r="A5" s="92"/>
      <c r="B5" s="99"/>
      <c r="C5" s="100"/>
      <c r="D5" s="100"/>
      <c r="E5" s="100"/>
      <c r="F5" s="100"/>
      <c r="G5" s="100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</row>
    <row r="6">
      <c r="A6" s="92"/>
      <c r="B6" s="101" t="s">
        <v>433</v>
      </c>
      <c r="C6" s="98">
        <f t="shared" ref="C6:E6" si="1">C13-C12</f>
        <v>710522.38</v>
      </c>
      <c r="D6" s="98">
        <f t="shared" si="1"/>
        <v>720522.38</v>
      </c>
      <c r="E6" s="98">
        <f t="shared" si="1"/>
        <v>730522.38</v>
      </c>
      <c r="F6" s="98"/>
      <c r="G6" s="98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</row>
    <row r="7">
      <c r="A7" s="92"/>
      <c r="B7" s="101" t="s">
        <v>434</v>
      </c>
      <c r="C7" s="98">
        <v>180000.0</v>
      </c>
      <c r="D7" s="98">
        <v>180000.0</v>
      </c>
      <c r="E7" s="98">
        <v>180000.0</v>
      </c>
      <c r="F7" s="102"/>
      <c r="G7" s="10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</row>
    <row r="8">
      <c r="A8" s="92"/>
      <c r="B8" s="103" t="s">
        <v>435</v>
      </c>
      <c r="C8" s="102">
        <v>-4835.75</v>
      </c>
      <c r="D8" s="102">
        <v>-4835.75</v>
      </c>
      <c r="E8" s="102">
        <v>-4835.75</v>
      </c>
      <c r="F8" s="102"/>
      <c r="G8" s="10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</row>
    <row r="9">
      <c r="A9" s="92"/>
      <c r="B9" s="103" t="s">
        <v>436</v>
      </c>
      <c r="C9" s="102">
        <v>-3086.63</v>
      </c>
      <c r="D9" s="102">
        <v>-3086.63</v>
      </c>
      <c r="E9" s="102">
        <v>-3086.63</v>
      </c>
      <c r="F9" s="102"/>
      <c r="G9" s="10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</row>
    <row r="10">
      <c r="A10" s="92"/>
      <c r="B10" s="104" t="s">
        <v>437</v>
      </c>
      <c r="C10" s="105">
        <f t="shared" ref="C10:E10" si="2">-(0.02*C7)</f>
        <v>-3600</v>
      </c>
      <c r="D10" s="105">
        <f t="shared" si="2"/>
        <v>-3600</v>
      </c>
      <c r="E10" s="105">
        <f t="shared" si="2"/>
        <v>-3600</v>
      </c>
      <c r="F10" s="105"/>
      <c r="G10" s="105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</row>
    <row r="11">
      <c r="A11" s="92"/>
      <c r="B11" s="104" t="s">
        <v>438</v>
      </c>
      <c r="C11" s="105">
        <f t="shared" ref="C11:E11" si="3">C7*0.05*(-1)</f>
        <v>-9000</v>
      </c>
      <c r="D11" s="105">
        <f t="shared" si="3"/>
        <v>-9000</v>
      </c>
      <c r="E11" s="105">
        <f t="shared" si="3"/>
        <v>-9000</v>
      </c>
      <c r="F11" s="106"/>
      <c r="G11" s="106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</row>
    <row r="12">
      <c r="A12" s="92"/>
      <c r="B12" s="101" t="s">
        <v>439</v>
      </c>
      <c r="C12" s="106">
        <f t="shared" ref="C12:E12" si="4">C7+(SUM(C8:C11))</f>
        <v>159477.62</v>
      </c>
      <c r="D12" s="106">
        <f t="shared" si="4"/>
        <v>159477.62</v>
      </c>
      <c r="E12" s="106">
        <f t="shared" si="4"/>
        <v>159477.62</v>
      </c>
      <c r="F12" s="106"/>
      <c r="G12" s="106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</row>
    <row r="13">
      <c r="A13" s="92"/>
      <c r="B13" s="101" t="s">
        <v>440</v>
      </c>
      <c r="C13" s="98">
        <v>870000.0</v>
      </c>
      <c r="D13" s="98">
        <v>880000.0</v>
      </c>
      <c r="E13" s="98">
        <v>890000.0</v>
      </c>
      <c r="F13" s="106"/>
      <c r="G13" s="106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</row>
    <row r="14">
      <c r="A14" s="92"/>
      <c r="B14" s="99"/>
      <c r="C14" s="100"/>
      <c r="D14" s="100"/>
      <c r="E14" s="100"/>
      <c r="F14" s="100"/>
      <c r="G14" s="100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</row>
    <row r="15">
      <c r="A15" s="92"/>
      <c r="B15" s="107"/>
      <c r="C15" s="108"/>
      <c r="D15" s="108"/>
      <c r="E15" s="108"/>
      <c r="F15" s="108"/>
      <c r="G15" s="108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</row>
    <row r="16">
      <c r="A16" s="92"/>
      <c r="B16" s="99"/>
      <c r="C16" s="100"/>
      <c r="D16" s="100"/>
      <c r="E16" s="100"/>
      <c r="F16" s="100"/>
      <c r="G16" s="100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</row>
    <row r="17">
      <c r="A17" s="92"/>
      <c r="B17" s="99" t="s">
        <v>441</v>
      </c>
      <c r="C17" s="105">
        <f t="shared" ref="C17:E17" si="5">C13-C4</f>
        <v>210000</v>
      </c>
      <c r="D17" s="105">
        <f t="shared" si="5"/>
        <v>220000</v>
      </c>
      <c r="E17" s="105">
        <f t="shared" si="5"/>
        <v>230000</v>
      </c>
      <c r="F17" s="105"/>
      <c r="G17" s="105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</row>
    <row r="18">
      <c r="A18" s="92"/>
      <c r="B18" s="99" t="s">
        <v>442</v>
      </c>
      <c r="C18" s="105">
        <f t="shared" ref="C18:E18" si="6">C17*0.15</f>
        <v>31500</v>
      </c>
      <c r="D18" s="105">
        <f t="shared" si="6"/>
        <v>33000</v>
      </c>
      <c r="E18" s="105">
        <f t="shared" si="6"/>
        <v>34500</v>
      </c>
      <c r="F18" s="105"/>
      <c r="G18" s="105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</row>
    <row r="19">
      <c r="A19" s="92"/>
      <c r="B19" s="99" t="s">
        <v>443</v>
      </c>
      <c r="C19" s="105">
        <f t="shared" ref="C19:E19" si="7">C17-C18</f>
        <v>178500</v>
      </c>
      <c r="D19" s="105">
        <f t="shared" si="7"/>
        <v>187000</v>
      </c>
      <c r="E19" s="105">
        <f t="shared" si="7"/>
        <v>195500</v>
      </c>
      <c r="F19" s="105"/>
      <c r="G19" s="105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</row>
    <row r="20">
      <c r="A20" s="92"/>
      <c r="B20" s="109" t="s">
        <v>444</v>
      </c>
      <c r="C20" s="110">
        <f t="shared" ref="C20:E20" si="8">C19/C4</f>
        <v>0.2704545455</v>
      </c>
      <c r="D20" s="110">
        <f t="shared" si="8"/>
        <v>0.2833333333</v>
      </c>
      <c r="E20" s="110">
        <f t="shared" si="8"/>
        <v>0.2962121212</v>
      </c>
      <c r="F20" s="111"/>
      <c r="G20" s="111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</row>
    <row r="21">
      <c r="A21" s="92"/>
      <c r="B21" s="93"/>
      <c r="C21" s="94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</row>
    <row r="22">
      <c r="A22" s="92"/>
      <c r="B22" s="93"/>
      <c r="C22" s="94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</row>
    <row r="23">
      <c r="A23" s="92"/>
      <c r="B23" s="93"/>
      <c r="C23" s="94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</row>
    <row r="24">
      <c r="A24" s="92"/>
      <c r="B24" s="93"/>
      <c r="C24" s="94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</row>
    <row r="25">
      <c r="A25" s="92"/>
      <c r="B25" s="93" t="s">
        <v>445</v>
      </c>
      <c r="C25" s="95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</row>
    <row r="26">
      <c r="A26" s="92"/>
      <c r="B26" s="93" t="s">
        <v>428</v>
      </c>
      <c r="C26" s="96" t="s">
        <v>446</v>
      </c>
      <c r="D26" s="96" t="s">
        <v>447</v>
      </c>
      <c r="E26" s="96" t="s">
        <v>448</v>
      </c>
      <c r="F26" s="96" t="s">
        <v>449</v>
      </c>
      <c r="G26" s="96" t="s">
        <v>448</v>
      </c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</row>
    <row r="27">
      <c r="A27" s="92"/>
      <c r="B27" s="97" t="s">
        <v>432</v>
      </c>
      <c r="C27" s="98">
        <v>660000.0</v>
      </c>
      <c r="D27" s="98">
        <v>660000.0</v>
      </c>
      <c r="E27" s="98">
        <v>660000.0</v>
      </c>
      <c r="F27" s="98">
        <v>660000.0</v>
      </c>
      <c r="G27" s="98">
        <v>660000.0</v>
      </c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</row>
    <row r="28">
      <c r="A28" s="92"/>
      <c r="B28" s="99"/>
      <c r="C28" s="100"/>
      <c r="D28" s="100"/>
      <c r="E28" s="100"/>
      <c r="F28" s="100"/>
      <c r="G28" s="100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</row>
    <row r="29">
      <c r="A29" s="92"/>
      <c r="B29" s="101" t="s">
        <v>433</v>
      </c>
      <c r="C29" s="98">
        <v>700000.0</v>
      </c>
      <c r="D29" s="98">
        <v>700000.0</v>
      </c>
      <c r="E29" s="98">
        <v>720000.0</v>
      </c>
      <c r="F29" s="98">
        <v>720000.0</v>
      </c>
      <c r="G29" s="98">
        <v>720000.0</v>
      </c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</row>
    <row r="30">
      <c r="A30" s="92"/>
      <c r="B30" s="112" t="s">
        <v>450</v>
      </c>
      <c r="C30" s="102">
        <v>180000.0</v>
      </c>
      <c r="D30" s="102">
        <v>180000.0</v>
      </c>
      <c r="E30" s="102">
        <v>180000.0</v>
      </c>
      <c r="F30" s="102">
        <v>180000.0</v>
      </c>
      <c r="G30" s="102">
        <v>160000.0</v>
      </c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</row>
    <row r="31">
      <c r="A31" s="92"/>
      <c r="B31" s="103" t="s">
        <v>435</v>
      </c>
      <c r="C31" s="102">
        <v>-4835.75</v>
      </c>
      <c r="D31" s="102">
        <v>0.0</v>
      </c>
      <c r="E31" s="102">
        <v>-4835.75</v>
      </c>
      <c r="F31" s="102">
        <v>0.0</v>
      </c>
      <c r="G31" s="102">
        <v>0.0</v>
      </c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</row>
    <row r="32">
      <c r="A32" s="92"/>
      <c r="B32" s="103" t="s">
        <v>436</v>
      </c>
      <c r="C32" s="102">
        <v>-3086.63</v>
      </c>
      <c r="D32" s="102">
        <v>0.0</v>
      </c>
      <c r="E32" s="102">
        <v>-3086.63</v>
      </c>
      <c r="F32" s="102">
        <v>0.0</v>
      </c>
      <c r="G32" s="102">
        <v>0.0</v>
      </c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</row>
    <row r="33">
      <c r="A33" s="92"/>
      <c r="B33" s="104" t="s">
        <v>437</v>
      </c>
      <c r="C33" s="105">
        <f t="shared" ref="C33:G33" si="9">-(0.02*C30)</f>
        <v>-3600</v>
      </c>
      <c r="D33" s="105">
        <f t="shared" si="9"/>
        <v>-3600</v>
      </c>
      <c r="E33" s="105">
        <f t="shared" si="9"/>
        <v>-3600</v>
      </c>
      <c r="F33" s="105">
        <f t="shared" si="9"/>
        <v>-3600</v>
      </c>
      <c r="G33" s="105">
        <f t="shared" si="9"/>
        <v>-3200</v>
      </c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</row>
    <row r="34">
      <c r="A34" s="92"/>
      <c r="B34" s="101" t="s">
        <v>451</v>
      </c>
      <c r="C34" s="106">
        <f t="shared" ref="C34:G34" si="10">SUM(C30:C33)</f>
        <v>168477.62</v>
      </c>
      <c r="D34" s="106">
        <f t="shared" si="10"/>
        <v>176400</v>
      </c>
      <c r="E34" s="106">
        <f t="shared" si="10"/>
        <v>168477.62</v>
      </c>
      <c r="F34" s="106">
        <f t="shared" si="10"/>
        <v>176400</v>
      </c>
      <c r="G34" s="106">
        <f t="shared" si="10"/>
        <v>156800</v>
      </c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</row>
    <row r="35">
      <c r="A35" s="92"/>
      <c r="B35" s="101" t="s">
        <v>452</v>
      </c>
      <c r="C35" s="106">
        <f t="shared" ref="C35:G35" si="11">C34+C29</f>
        <v>868477.62</v>
      </c>
      <c r="D35" s="106">
        <f t="shared" si="11"/>
        <v>876400</v>
      </c>
      <c r="E35" s="106">
        <f t="shared" si="11"/>
        <v>888477.62</v>
      </c>
      <c r="F35" s="106">
        <f t="shared" si="11"/>
        <v>896400</v>
      </c>
      <c r="G35" s="106">
        <f t="shared" si="11"/>
        <v>876800</v>
      </c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</row>
    <row r="36">
      <c r="A36" s="92"/>
      <c r="B36" s="99"/>
      <c r="C36" s="100"/>
      <c r="D36" s="100"/>
      <c r="E36" s="100"/>
      <c r="F36" s="100"/>
      <c r="G36" s="100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</row>
    <row r="37">
      <c r="A37" s="92"/>
      <c r="B37" s="107"/>
      <c r="C37" s="108"/>
      <c r="D37" s="108"/>
      <c r="E37" s="108"/>
      <c r="F37" s="108"/>
      <c r="G37" s="108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</row>
    <row r="38">
      <c r="A38" s="92"/>
      <c r="B38" s="99"/>
      <c r="C38" s="100"/>
      <c r="D38" s="100"/>
      <c r="E38" s="100"/>
      <c r="F38" s="100"/>
      <c r="G38" s="100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</row>
    <row r="39">
      <c r="A39" s="92"/>
      <c r="B39" s="99" t="s">
        <v>441</v>
      </c>
      <c r="C39" s="105">
        <f t="shared" ref="C39:G39" si="12">C35-C27</f>
        <v>208477.62</v>
      </c>
      <c r="D39" s="105">
        <f t="shared" si="12"/>
        <v>216400</v>
      </c>
      <c r="E39" s="105">
        <f t="shared" si="12"/>
        <v>228477.62</v>
      </c>
      <c r="F39" s="105">
        <f t="shared" si="12"/>
        <v>236400</v>
      </c>
      <c r="G39" s="105">
        <f t="shared" si="12"/>
        <v>216800</v>
      </c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</row>
    <row r="40">
      <c r="A40" s="92"/>
      <c r="B40" s="99" t="s">
        <v>442</v>
      </c>
      <c r="C40" s="105">
        <f t="shared" ref="C40:G40" si="13">C39*0.15</f>
        <v>31271.643</v>
      </c>
      <c r="D40" s="105">
        <f t="shared" si="13"/>
        <v>32460</v>
      </c>
      <c r="E40" s="105">
        <f t="shared" si="13"/>
        <v>34271.643</v>
      </c>
      <c r="F40" s="105">
        <f t="shared" si="13"/>
        <v>35460</v>
      </c>
      <c r="G40" s="105">
        <f t="shared" si="13"/>
        <v>32520</v>
      </c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</row>
    <row r="41">
      <c r="A41" s="92"/>
      <c r="B41" s="99" t="s">
        <v>443</v>
      </c>
      <c r="C41" s="105">
        <f t="shared" ref="C41:G41" si="14">C39-C40</f>
        <v>177205.977</v>
      </c>
      <c r="D41" s="105">
        <f t="shared" si="14"/>
        <v>183940</v>
      </c>
      <c r="E41" s="105">
        <f t="shared" si="14"/>
        <v>194205.977</v>
      </c>
      <c r="F41" s="105">
        <f t="shared" si="14"/>
        <v>200940</v>
      </c>
      <c r="G41" s="105">
        <f t="shared" si="14"/>
        <v>184280</v>
      </c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</row>
    <row r="42">
      <c r="A42" s="92"/>
      <c r="B42" s="113" t="s">
        <v>444</v>
      </c>
      <c r="C42" s="111">
        <f t="shared" ref="C42:G42" si="15">C41/C27</f>
        <v>0.2684939045</v>
      </c>
      <c r="D42" s="111">
        <f t="shared" si="15"/>
        <v>0.2786969697</v>
      </c>
      <c r="E42" s="111">
        <f t="shared" si="15"/>
        <v>0.2942514803</v>
      </c>
      <c r="F42" s="111">
        <f t="shared" si="15"/>
        <v>0.3044545455</v>
      </c>
      <c r="G42" s="111">
        <f t="shared" si="15"/>
        <v>0.2792121212</v>
      </c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</row>
    <row r="43">
      <c r="A43" s="92"/>
      <c r="B43" s="92"/>
      <c r="C43" s="94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</row>
    <row r="44">
      <c r="A44" s="92"/>
      <c r="B44" s="92"/>
      <c r="C44" s="94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</row>
    <row r="45">
      <c r="A45" s="92"/>
      <c r="B45" s="93" t="s">
        <v>453</v>
      </c>
      <c r="C45" s="95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</row>
    <row r="46">
      <c r="A46" s="92"/>
      <c r="B46" s="93" t="s">
        <v>428</v>
      </c>
      <c r="C46" s="96">
        <v>1.0</v>
      </c>
      <c r="D46" s="96"/>
      <c r="E46" s="96"/>
      <c r="F46" s="96"/>
      <c r="G46" s="96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</row>
    <row r="47">
      <c r="A47" s="92"/>
      <c r="B47" s="97" t="s">
        <v>432</v>
      </c>
      <c r="C47" s="98">
        <v>660000.0</v>
      </c>
      <c r="D47" s="98">
        <v>660000.0</v>
      </c>
      <c r="E47" s="98"/>
      <c r="F47" s="98"/>
      <c r="G47" s="98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</row>
    <row r="48">
      <c r="A48" s="92"/>
      <c r="B48" s="99"/>
      <c r="C48" s="100"/>
      <c r="D48" s="100"/>
      <c r="E48" s="100"/>
      <c r="F48" s="100"/>
      <c r="G48" s="100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</row>
    <row r="49">
      <c r="A49" s="92"/>
      <c r="B49" s="101" t="s">
        <v>433</v>
      </c>
      <c r="C49" s="98">
        <v>880000.0</v>
      </c>
      <c r="D49" s="98">
        <v>800000.0</v>
      </c>
      <c r="E49" s="98"/>
      <c r="F49" s="98"/>
      <c r="G49" s="98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</row>
    <row r="50">
      <c r="A50" s="92"/>
      <c r="B50" s="112"/>
      <c r="C50" s="102"/>
      <c r="D50" s="102"/>
      <c r="E50" s="102"/>
      <c r="F50" s="102"/>
      <c r="G50" s="10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</row>
    <row r="51">
      <c r="A51" s="92"/>
      <c r="B51" s="103"/>
      <c r="C51" s="102"/>
      <c r="D51" s="102"/>
      <c r="E51" s="102"/>
      <c r="F51" s="102"/>
      <c r="G51" s="10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</row>
    <row r="52">
      <c r="A52" s="92"/>
      <c r="B52" s="103"/>
      <c r="C52" s="102"/>
      <c r="D52" s="102"/>
      <c r="E52" s="102"/>
      <c r="F52" s="102"/>
      <c r="G52" s="10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</row>
    <row r="53">
      <c r="A53" s="92"/>
      <c r="B53" s="104"/>
      <c r="C53" s="105"/>
      <c r="D53" s="105"/>
      <c r="E53" s="105"/>
      <c r="F53" s="105"/>
      <c r="G53" s="105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</row>
    <row r="54">
      <c r="A54" s="92"/>
      <c r="B54" s="101"/>
      <c r="C54" s="106"/>
      <c r="D54" s="106"/>
      <c r="E54" s="106"/>
      <c r="F54" s="106"/>
      <c r="G54" s="106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</row>
    <row r="55">
      <c r="A55" s="92"/>
      <c r="B55" s="101" t="s">
        <v>452</v>
      </c>
      <c r="C55" s="106">
        <f t="shared" ref="C55:D55" si="16">C54+C49</f>
        <v>880000</v>
      </c>
      <c r="D55" s="106">
        <f t="shared" si="16"/>
        <v>800000</v>
      </c>
      <c r="E55" s="106"/>
      <c r="F55" s="106"/>
      <c r="G55" s="106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</row>
    <row r="56">
      <c r="A56" s="92"/>
      <c r="B56" s="99"/>
      <c r="C56" s="100"/>
      <c r="D56" s="100"/>
      <c r="E56" s="100"/>
      <c r="F56" s="100"/>
      <c r="G56" s="100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</row>
    <row r="57">
      <c r="A57" s="92"/>
      <c r="B57" s="107"/>
      <c r="C57" s="108"/>
      <c r="D57" s="108"/>
      <c r="E57" s="108"/>
      <c r="F57" s="108"/>
      <c r="G57" s="108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</row>
    <row r="58">
      <c r="A58" s="92"/>
      <c r="B58" s="99"/>
      <c r="C58" s="100"/>
      <c r="D58" s="100"/>
      <c r="E58" s="100"/>
      <c r="F58" s="100"/>
      <c r="G58" s="100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</row>
    <row r="59">
      <c r="A59" s="92"/>
      <c r="B59" s="99" t="s">
        <v>441</v>
      </c>
      <c r="C59" s="105">
        <f t="shared" ref="C59:D59" si="17">C55-C47</f>
        <v>220000</v>
      </c>
      <c r="D59" s="105">
        <f t="shared" si="17"/>
        <v>140000</v>
      </c>
      <c r="E59" s="105"/>
      <c r="F59" s="105"/>
      <c r="G59" s="105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</row>
    <row r="60">
      <c r="A60" s="92"/>
      <c r="B60" s="99" t="s">
        <v>442</v>
      </c>
      <c r="C60" s="105">
        <f t="shared" ref="C60:D60" si="18">C59*0.15</f>
        <v>33000</v>
      </c>
      <c r="D60" s="105">
        <f t="shared" si="18"/>
        <v>21000</v>
      </c>
      <c r="E60" s="105"/>
      <c r="F60" s="105"/>
      <c r="G60" s="105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</row>
    <row r="61">
      <c r="A61" s="92"/>
      <c r="B61" s="99" t="s">
        <v>443</v>
      </c>
      <c r="C61" s="105">
        <f t="shared" ref="C61:D61" si="19">C59-C60</f>
        <v>187000</v>
      </c>
      <c r="D61" s="105">
        <f t="shared" si="19"/>
        <v>119000</v>
      </c>
      <c r="E61" s="105"/>
      <c r="F61" s="105"/>
      <c r="G61" s="105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</row>
    <row r="62">
      <c r="A62" s="92"/>
      <c r="B62" s="113" t="s">
        <v>444</v>
      </c>
      <c r="C62" s="111">
        <f t="shared" ref="C62:D62" si="20">C61/C47</f>
        <v>0.2833333333</v>
      </c>
      <c r="D62" s="111">
        <f t="shared" si="20"/>
        <v>0.1803030303</v>
      </c>
      <c r="E62" s="111"/>
      <c r="F62" s="111"/>
      <c r="G62" s="111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</row>
    <row r="63">
      <c r="A63" s="92"/>
      <c r="B63" s="92"/>
      <c r="C63" s="94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</row>
    <row r="64">
      <c r="A64" s="92"/>
      <c r="B64" s="92"/>
      <c r="C64" s="94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</row>
    <row r="65">
      <c r="A65" s="92"/>
      <c r="B65" s="92"/>
      <c r="C65" s="94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</row>
    <row r="66">
      <c r="A66" s="92"/>
      <c r="B66" s="92"/>
      <c r="C66" s="94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</row>
    <row r="67">
      <c r="A67" s="92"/>
      <c r="B67" s="92"/>
      <c r="C67" s="94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</row>
    <row r="68">
      <c r="A68" s="92"/>
      <c r="B68" s="92"/>
      <c r="C68" s="94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</row>
    <row r="69">
      <c r="A69" s="92"/>
      <c r="B69" s="92"/>
      <c r="C69" s="94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</row>
    <row r="70">
      <c r="A70" s="92"/>
      <c r="B70" s="92"/>
      <c r="C70" s="94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</row>
    <row r="71">
      <c r="A71" s="92"/>
      <c r="B71" s="92"/>
      <c r="C71" s="94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</row>
    <row r="72">
      <c r="A72" s="92"/>
      <c r="B72" s="92"/>
      <c r="C72" s="94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</row>
    <row r="73">
      <c r="A73" s="92"/>
      <c r="B73" s="92"/>
      <c r="C73" s="94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</row>
    <row r="74">
      <c r="A74" s="92"/>
      <c r="B74" s="92"/>
      <c r="C74" s="94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</row>
    <row r="75">
      <c r="A75" s="92"/>
      <c r="B75" s="92"/>
      <c r="C75" s="94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</row>
    <row r="76">
      <c r="A76" s="92"/>
      <c r="B76" s="92"/>
      <c r="C76" s="94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</row>
    <row r="77">
      <c r="A77" s="92"/>
      <c r="B77" s="92"/>
      <c r="C77" s="94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</row>
    <row r="78">
      <c r="A78" s="92"/>
      <c r="B78" s="92"/>
      <c r="C78" s="94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</row>
    <row r="79">
      <c r="A79" s="92"/>
      <c r="B79" s="92"/>
      <c r="C79" s="94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</row>
    <row r="80">
      <c r="A80" s="92"/>
      <c r="B80" s="92"/>
      <c r="C80" s="94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</row>
    <row r="81">
      <c r="A81" s="92"/>
      <c r="B81" s="92"/>
      <c r="C81" s="94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</row>
    <row r="82">
      <c r="A82" s="92"/>
      <c r="B82" s="92"/>
      <c r="C82" s="94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</row>
    <row r="83">
      <c r="A83" s="92"/>
      <c r="B83" s="92"/>
      <c r="C83" s="94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</row>
    <row r="84">
      <c r="A84" s="92"/>
      <c r="B84" s="92"/>
      <c r="C84" s="94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</row>
    <row r="85">
      <c r="A85" s="92"/>
      <c r="B85" s="92"/>
      <c r="C85" s="94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</row>
    <row r="86">
      <c r="A86" s="92"/>
      <c r="B86" s="92"/>
      <c r="C86" s="94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</row>
    <row r="87">
      <c r="A87" s="92"/>
      <c r="B87" s="92"/>
      <c r="C87" s="94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</row>
    <row r="88">
      <c r="A88" s="92"/>
      <c r="B88" s="92"/>
      <c r="C88" s="94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</row>
    <row r="89">
      <c r="A89" s="92"/>
      <c r="B89" s="92"/>
      <c r="C89" s="94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</row>
    <row r="90">
      <c r="A90" s="92"/>
      <c r="B90" s="92"/>
      <c r="C90" s="94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</row>
    <row r="91">
      <c r="A91" s="92"/>
      <c r="B91" s="92"/>
      <c r="C91" s="94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</row>
    <row r="92">
      <c r="A92" s="92"/>
      <c r="B92" s="92"/>
      <c r="C92" s="94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</row>
    <row r="93">
      <c r="A93" s="92"/>
      <c r="B93" s="92"/>
      <c r="C93" s="94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</row>
    <row r="94">
      <c r="A94" s="92"/>
      <c r="B94" s="92"/>
      <c r="C94" s="94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</row>
    <row r="95">
      <c r="A95" s="92"/>
      <c r="B95" s="92"/>
      <c r="C95" s="94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</row>
    <row r="96">
      <c r="A96" s="92"/>
      <c r="B96" s="92"/>
      <c r="C96" s="94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</row>
    <row r="97">
      <c r="A97" s="92"/>
      <c r="B97" s="92"/>
      <c r="C97" s="94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</row>
    <row r="98">
      <c r="A98" s="92"/>
      <c r="B98" s="92"/>
      <c r="C98" s="94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</row>
    <row r="99">
      <c r="A99" s="92"/>
      <c r="B99" s="92"/>
      <c r="C99" s="94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</row>
    <row r="100">
      <c r="A100" s="92"/>
      <c r="B100" s="92"/>
      <c r="C100" s="94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</row>
    <row r="101">
      <c r="A101" s="92"/>
      <c r="B101" s="92"/>
      <c r="C101" s="94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</row>
    <row r="102">
      <c r="A102" s="92"/>
      <c r="B102" s="92"/>
      <c r="C102" s="94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</row>
    <row r="103">
      <c r="A103" s="92"/>
      <c r="B103" s="92"/>
      <c r="C103" s="94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</row>
    <row r="104">
      <c r="A104" s="92"/>
      <c r="B104" s="92"/>
      <c r="C104" s="94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</row>
    <row r="105">
      <c r="A105" s="92"/>
      <c r="B105" s="92"/>
      <c r="C105" s="94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</row>
    <row r="106">
      <c r="A106" s="92"/>
      <c r="B106" s="92"/>
      <c r="C106" s="94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</row>
    <row r="107">
      <c r="A107" s="92"/>
      <c r="B107" s="92"/>
      <c r="C107" s="94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</row>
    <row r="108">
      <c r="A108" s="92"/>
      <c r="B108" s="92"/>
      <c r="C108" s="94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</row>
    <row r="109">
      <c r="A109" s="92"/>
      <c r="B109" s="92"/>
      <c r="C109" s="94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</row>
    <row r="110">
      <c r="A110" s="92"/>
      <c r="B110" s="92"/>
      <c r="C110" s="94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</row>
    <row r="111">
      <c r="A111" s="92"/>
      <c r="B111" s="92"/>
      <c r="C111" s="94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</row>
    <row r="112">
      <c r="A112" s="92"/>
      <c r="B112" s="92"/>
      <c r="C112" s="94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</row>
    <row r="113">
      <c r="A113" s="92"/>
      <c r="B113" s="92"/>
      <c r="C113" s="94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</row>
    <row r="114">
      <c r="A114" s="92"/>
      <c r="B114" s="92"/>
      <c r="C114" s="94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</row>
    <row r="115">
      <c r="A115" s="92"/>
      <c r="B115" s="92"/>
      <c r="C115" s="94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</row>
    <row r="116">
      <c r="A116" s="92"/>
      <c r="B116" s="92"/>
      <c r="C116" s="94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</row>
    <row r="117">
      <c r="A117" s="92"/>
      <c r="B117" s="92"/>
      <c r="C117" s="94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</row>
    <row r="118">
      <c r="A118" s="92"/>
      <c r="B118" s="92"/>
      <c r="C118" s="94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</row>
    <row r="119">
      <c r="A119" s="92"/>
      <c r="B119" s="92"/>
      <c r="C119" s="94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</row>
    <row r="120">
      <c r="A120" s="92"/>
      <c r="B120" s="92"/>
      <c r="C120" s="94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</row>
    <row r="121">
      <c r="A121" s="92"/>
      <c r="B121" s="92"/>
      <c r="C121" s="94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</row>
    <row r="122">
      <c r="A122" s="92"/>
      <c r="B122" s="92"/>
      <c r="C122" s="94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</row>
    <row r="123">
      <c r="A123" s="92"/>
      <c r="B123" s="92"/>
      <c r="C123" s="94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</row>
    <row r="124">
      <c r="A124" s="92"/>
      <c r="B124" s="92"/>
      <c r="C124" s="94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</row>
    <row r="125">
      <c r="A125" s="92"/>
      <c r="B125" s="92"/>
      <c r="C125" s="94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</row>
    <row r="126">
      <c r="A126" s="92"/>
      <c r="B126" s="92"/>
      <c r="C126" s="94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</row>
    <row r="127">
      <c r="A127" s="92"/>
      <c r="B127" s="92"/>
      <c r="C127" s="94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</row>
    <row r="128">
      <c r="A128" s="92"/>
      <c r="B128" s="92"/>
      <c r="C128" s="94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</row>
    <row r="129">
      <c r="A129" s="92"/>
      <c r="B129" s="92"/>
      <c r="C129" s="94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</row>
    <row r="130">
      <c r="A130" s="92"/>
      <c r="B130" s="92"/>
      <c r="C130" s="94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</row>
    <row r="131">
      <c r="A131" s="92"/>
      <c r="B131" s="92"/>
      <c r="C131" s="94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</row>
    <row r="132">
      <c r="A132" s="92"/>
      <c r="B132" s="92"/>
      <c r="C132" s="94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</row>
    <row r="133">
      <c r="A133" s="92"/>
      <c r="B133" s="92"/>
      <c r="C133" s="94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</row>
    <row r="134">
      <c r="A134" s="92"/>
      <c r="B134" s="92"/>
      <c r="C134" s="94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</row>
    <row r="135">
      <c r="A135" s="92"/>
      <c r="B135" s="92"/>
      <c r="C135" s="94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</row>
    <row r="136">
      <c r="A136" s="92"/>
      <c r="B136" s="92"/>
      <c r="C136" s="94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</row>
    <row r="137">
      <c r="A137" s="92"/>
      <c r="B137" s="92"/>
      <c r="C137" s="94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</row>
    <row r="138">
      <c r="A138" s="92"/>
      <c r="B138" s="92"/>
      <c r="C138" s="94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</row>
    <row r="139">
      <c r="A139" s="92"/>
      <c r="B139" s="92"/>
      <c r="C139" s="94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</row>
    <row r="140">
      <c r="A140" s="92"/>
      <c r="B140" s="92"/>
      <c r="C140" s="94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</row>
    <row r="141">
      <c r="A141" s="92"/>
      <c r="B141" s="92"/>
      <c r="C141" s="94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</row>
    <row r="142">
      <c r="A142" s="92"/>
      <c r="B142" s="92"/>
      <c r="C142" s="94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</row>
    <row r="143">
      <c r="A143" s="92"/>
      <c r="B143" s="92"/>
      <c r="C143" s="94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</row>
    <row r="144">
      <c r="A144" s="92"/>
      <c r="B144" s="92"/>
      <c r="C144" s="94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</row>
    <row r="145">
      <c r="A145" s="92"/>
      <c r="B145" s="92"/>
      <c r="C145" s="94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</row>
    <row r="146">
      <c r="A146" s="92"/>
      <c r="B146" s="92"/>
      <c r="C146" s="94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</row>
    <row r="147">
      <c r="A147" s="92"/>
      <c r="B147" s="92"/>
      <c r="C147" s="94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</row>
    <row r="148">
      <c r="A148" s="92"/>
      <c r="B148" s="92"/>
      <c r="C148" s="94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</row>
    <row r="149">
      <c r="A149" s="92"/>
      <c r="B149" s="92"/>
      <c r="C149" s="94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</row>
    <row r="150">
      <c r="A150" s="92"/>
      <c r="B150" s="92"/>
      <c r="C150" s="94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</row>
    <row r="151">
      <c r="A151" s="92"/>
      <c r="B151" s="92"/>
      <c r="C151" s="94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</row>
    <row r="152">
      <c r="A152" s="92"/>
      <c r="B152" s="92"/>
      <c r="C152" s="94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</row>
    <row r="153">
      <c r="A153" s="92"/>
      <c r="B153" s="92"/>
      <c r="C153" s="94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</row>
    <row r="154">
      <c r="A154" s="92"/>
      <c r="B154" s="92"/>
      <c r="C154" s="94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</row>
    <row r="155">
      <c r="A155" s="92"/>
      <c r="B155" s="92"/>
      <c r="C155" s="94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</row>
    <row r="156">
      <c r="A156" s="92"/>
      <c r="B156" s="92"/>
      <c r="C156" s="94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</row>
    <row r="157">
      <c r="A157" s="92"/>
      <c r="B157" s="92"/>
      <c r="C157" s="94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</row>
    <row r="158">
      <c r="A158" s="92"/>
      <c r="B158" s="92"/>
      <c r="C158" s="94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</row>
    <row r="159">
      <c r="A159" s="92"/>
      <c r="B159" s="92"/>
      <c r="C159" s="94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</row>
    <row r="160">
      <c r="A160" s="92"/>
      <c r="B160" s="92"/>
      <c r="C160" s="94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</row>
    <row r="161">
      <c r="A161" s="92"/>
      <c r="B161" s="92"/>
      <c r="C161" s="94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</row>
    <row r="162">
      <c r="A162" s="92"/>
      <c r="B162" s="92"/>
      <c r="C162" s="94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</row>
    <row r="163">
      <c r="A163" s="92"/>
      <c r="B163" s="92"/>
      <c r="C163" s="94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</row>
    <row r="164">
      <c r="A164" s="92"/>
      <c r="B164" s="92"/>
      <c r="C164" s="94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</row>
    <row r="165">
      <c r="A165" s="92"/>
      <c r="B165" s="92"/>
      <c r="C165" s="94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</row>
    <row r="166">
      <c r="A166" s="92"/>
      <c r="B166" s="92"/>
      <c r="C166" s="94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</row>
    <row r="167">
      <c r="A167" s="92"/>
      <c r="B167" s="92"/>
      <c r="C167" s="94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</row>
    <row r="168">
      <c r="A168" s="92"/>
      <c r="B168" s="92"/>
      <c r="C168" s="94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</row>
    <row r="169">
      <c r="A169" s="92"/>
      <c r="B169" s="92"/>
      <c r="C169" s="94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</row>
    <row r="170">
      <c r="A170" s="92"/>
      <c r="B170" s="92"/>
      <c r="C170" s="94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</row>
    <row r="171">
      <c r="A171" s="92"/>
      <c r="B171" s="92"/>
      <c r="C171" s="94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</row>
    <row r="172">
      <c r="A172" s="92"/>
      <c r="B172" s="92"/>
      <c r="C172" s="94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</row>
    <row r="173">
      <c r="A173" s="92"/>
      <c r="B173" s="92"/>
      <c r="C173" s="94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</row>
    <row r="174">
      <c r="A174" s="92"/>
      <c r="B174" s="92"/>
      <c r="C174" s="94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</row>
    <row r="175">
      <c r="A175" s="92"/>
      <c r="B175" s="92"/>
      <c r="C175" s="94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</row>
    <row r="176">
      <c r="A176" s="92"/>
      <c r="B176" s="92"/>
      <c r="C176" s="94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</row>
    <row r="177">
      <c r="A177" s="92"/>
      <c r="B177" s="92"/>
      <c r="C177" s="94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</row>
    <row r="178">
      <c r="A178" s="92"/>
      <c r="B178" s="92"/>
      <c r="C178" s="94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</row>
    <row r="179">
      <c r="A179" s="92"/>
      <c r="B179" s="92"/>
      <c r="C179" s="94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</row>
    <row r="180">
      <c r="A180" s="92"/>
      <c r="B180" s="92"/>
      <c r="C180" s="94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</row>
    <row r="181">
      <c r="A181" s="92"/>
      <c r="B181" s="92"/>
      <c r="C181" s="94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</row>
    <row r="182">
      <c r="A182" s="92"/>
      <c r="B182" s="92"/>
      <c r="C182" s="94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</row>
    <row r="183">
      <c r="A183" s="92"/>
      <c r="B183" s="92"/>
      <c r="C183" s="94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</row>
    <row r="184">
      <c r="A184" s="92"/>
      <c r="B184" s="92"/>
      <c r="C184" s="94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</row>
    <row r="185">
      <c r="A185" s="92"/>
      <c r="B185" s="92"/>
      <c r="C185" s="94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</row>
    <row r="186">
      <c r="A186" s="92"/>
      <c r="B186" s="92"/>
      <c r="C186" s="94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</row>
    <row r="187">
      <c r="A187" s="92"/>
      <c r="B187" s="92"/>
      <c r="C187" s="94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</row>
    <row r="188">
      <c r="A188" s="92"/>
      <c r="B188" s="92"/>
      <c r="C188" s="94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</row>
    <row r="189">
      <c r="A189" s="92"/>
      <c r="B189" s="92"/>
      <c r="C189" s="94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</row>
    <row r="190">
      <c r="A190" s="92"/>
      <c r="B190" s="92"/>
      <c r="C190" s="94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</row>
    <row r="191">
      <c r="A191" s="92"/>
      <c r="B191" s="92"/>
      <c r="C191" s="94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</row>
    <row r="192">
      <c r="A192" s="92"/>
      <c r="B192" s="92"/>
      <c r="C192" s="94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</row>
    <row r="193">
      <c r="A193" s="92"/>
      <c r="B193" s="92"/>
      <c r="C193" s="94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</row>
    <row r="194">
      <c r="A194" s="92"/>
      <c r="B194" s="92"/>
      <c r="C194" s="94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</row>
    <row r="195">
      <c r="A195" s="92"/>
      <c r="B195" s="92"/>
      <c r="C195" s="94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</row>
    <row r="196">
      <c r="A196" s="92"/>
      <c r="B196" s="92"/>
      <c r="C196" s="94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</row>
    <row r="197">
      <c r="A197" s="92"/>
      <c r="B197" s="92"/>
      <c r="C197" s="94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</row>
    <row r="198">
      <c r="A198" s="92"/>
      <c r="B198" s="92"/>
      <c r="C198" s="94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</row>
    <row r="199">
      <c r="A199" s="92"/>
      <c r="B199" s="92"/>
      <c r="C199" s="94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</row>
    <row r="200">
      <c r="A200" s="92"/>
      <c r="B200" s="92"/>
      <c r="C200" s="94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</row>
    <row r="201">
      <c r="A201" s="92"/>
      <c r="B201" s="92"/>
      <c r="C201" s="94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</row>
    <row r="202">
      <c r="A202" s="92"/>
      <c r="B202" s="92"/>
      <c r="C202" s="94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</row>
    <row r="203">
      <c r="A203" s="92"/>
      <c r="B203" s="92"/>
      <c r="C203" s="94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</row>
    <row r="204">
      <c r="A204" s="92"/>
      <c r="B204" s="92"/>
      <c r="C204" s="94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</row>
    <row r="205">
      <c r="A205" s="92"/>
      <c r="B205" s="92"/>
      <c r="C205" s="94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</row>
    <row r="206">
      <c r="A206" s="92"/>
      <c r="B206" s="92"/>
      <c r="C206" s="94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</row>
    <row r="207">
      <c r="A207" s="92"/>
      <c r="B207" s="92"/>
      <c r="C207" s="94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</row>
    <row r="208">
      <c r="A208" s="92"/>
      <c r="B208" s="92"/>
      <c r="C208" s="94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</row>
    <row r="209">
      <c r="A209" s="92"/>
      <c r="B209" s="92"/>
      <c r="C209" s="94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</row>
    <row r="210">
      <c r="A210" s="92"/>
      <c r="B210" s="92"/>
      <c r="C210" s="94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</row>
    <row r="211">
      <c r="A211" s="92"/>
      <c r="B211" s="92"/>
      <c r="C211" s="94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</row>
    <row r="212">
      <c r="A212" s="92"/>
      <c r="B212" s="92"/>
      <c r="C212" s="94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</row>
    <row r="213">
      <c r="A213" s="92"/>
      <c r="B213" s="92"/>
      <c r="C213" s="94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</row>
    <row r="214">
      <c r="A214" s="92"/>
      <c r="B214" s="92"/>
      <c r="C214" s="94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</row>
    <row r="215">
      <c r="A215" s="92"/>
      <c r="B215" s="92"/>
      <c r="C215" s="94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</row>
    <row r="216">
      <c r="A216" s="92"/>
      <c r="B216" s="92"/>
      <c r="C216" s="94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</row>
    <row r="217">
      <c r="A217" s="92"/>
      <c r="B217" s="92"/>
      <c r="C217" s="94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</row>
    <row r="218">
      <c r="A218" s="92"/>
      <c r="B218" s="92"/>
      <c r="C218" s="94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</row>
    <row r="219">
      <c r="A219" s="92"/>
      <c r="B219" s="92"/>
      <c r="C219" s="94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</row>
    <row r="220">
      <c r="A220" s="92"/>
      <c r="B220" s="92"/>
      <c r="C220" s="94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</row>
    <row r="221">
      <c r="A221" s="92"/>
      <c r="B221" s="92"/>
      <c r="C221" s="94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</row>
    <row r="222">
      <c r="A222" s="92"/>
      <c r="B222" s="92"/>
      <c r="C222" s="94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</row>
    <row r="223">
      <c r="A223" s="92"/>
      <c r="B223" s="92"/>
      <c r="C223" s="94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</row>
    <row r="224">
      <c r="A224" s="92"/>
      <c r="B224" s="92"/>
      <c r="C224" s="94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</row>
    <row r="225">
      <c r="A225" s="92"/>
      <c r="B225" s="92"/>
      <c r="C225" s="94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</row>
    <row r="226">
      <c r="A226" s="92"/>
      <c r="B226" s="92"/>
      <c r="C226" s="94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</row>
    <row r="227">
      <c r="A227" s="92"/>
      <c r="B227" s="92"/>
      <c r="C227" s="94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</row>
    <row r="228">
      <c r="A228" s="92"/>
      <c r="B228" s="92"/>
      <c r="C228" s="94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</row>
    <row r="229">
      <c r="A229" s="92"/>
      <c r="B229" s="92"/>
      <c r="C229" s="94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</row>
    <row r="230">
      <c r="A230" s="92"/>
      <c r="B230" s="92"/>
      <c r="C230" s="94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</row>
    <row r="231">
      <c r="A231" s="92"/>
      <c r="B231" s="92"/>
      <c r="C231" s="94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</row>
    <row r="232">
      <c r="A232" s="92"/>
      <c r="B232" s="92"/>
      <c r="C232" s="94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</row>
    <row r="233">
      <c r="A233" s="92"/>
      <c r="B233" s="92"/>
      <c r="C233" s="94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</row>
    <row r="234">
      <c r="A234" s="92"/>
      <c r="B234" s="92"/>
      <c r="C234" s="94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</row>
    <row r="235">
      <c r="A235" s="92"/>
      <c r="B235" s="92"/>
      <c r="C235" s="94"/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</row>
    <row r="236">
      <c r="A236" s="92"/>
      <c r="B236" s="92"/>
      <c r="C236" s="94"/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</row>
    <row r="237">
      <c r="A237" s="92"/>
      <c r="B237" s="92"/>
      <c r="C237" s="94"/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</row>
    <row r="238">
      <c r="A238" s="92"/>
      <c r="B238" s="92"/>
      <c r="C238" s="94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</row>
    <row r="239">
      <c r="A239" s="92"/>
      <c r="B239" s="92"/>
      <c r="C239" s="94"/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</row>
    <row r="240">
      <c r="A240" s="92"/>
      <c r="B240" s="92"/>
      <c r="C240" s="94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</row>
    <row r="241">
      <c r="A241" s="92"/>
      <c r="B241" s="92"/>
      <c r="C241" s="94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</row>
    <row r="242">
      <c r="A242" s="92"/>
      <c r="B242" s="92"/>
      <c r="C242" s="94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</row>
    <row r="243">
      <c r="A243" s="92"/>
      <c r="B243" s="92"/>
      <c r="C243" s="94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</row>
    <row r="244">
      <c r="A244" s="92"/>
      <c r="B244" s="92"/>
      <c r="C244" s="94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</row>
    <row r="245">
      <c r="A245" s="92"/>
      <c r="B245" s="92"/>
      <c r="C245" s="94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</row>
    <row r="246">
      <c r="A246" s="92"/>
      <c r="B246" s="92"/>
      <c r="C246" s="94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</row>
    <row r="247">
      <c r="A247" s="92"/>
      <c r="B247" s="92"/>
      <c r="C247" s="94"/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</row>
    <row r="248">
      <c r="A248" s="92"/>
      <c r="B248" s="92"/>
      <c r="C248" s="94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</row>
    <row r="249">
      <c r="A249" s="92"/>
      <c r="B249" s="92"/>
      <c r="C249" s="94"/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</row>
    <row r="250">
      <c r="A250" s="92"/>
      <c r="B250" s="92"/>
      <c r="C250" s="94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</row>
    <row r="251">
      <c r="A251" s="92"/>
      <c r="B251" s="92"/>
      <c r="C251" s="94"/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</row>
    <row r="252">
      <c r="A252" s="92"/>
      <c r="B252" s="92"/>
      <c r="C252" s="94"/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</row>
    <row r="253">
      <c r="A253" s="92"/>
      <c r="B253" s="92"/>
      <c r="C253" s="94"/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</row>
    <row r="254">
      <c r="A254" s="92"/>
      <c r="B254" s="92"/>
      <c r="C254" s="94"/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</row>
    <row r="255">
      <c r="A255" s="92"/>
      <c r="B255" s="92"/>
      <c r="C255" s="94"/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</row>
    <row r="256">
      <c r="A256" s="92"/>
      <c r="B256" s="92"/>
      <c r="C256" s="94"/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</row>
    <row r="257">
      <c r="A257" s="92"/>
      <c r="B257" s="92"/>
      <c r="C257" s="94"/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</row>
    <row r="258">
      <c r="A258" s="92"/>
      <c r="B258" s="92"/>
      <c r="C258" s="94"/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</row>
    <row r="259">
      <c r="A259" s="92"/>
      <c r="B259" s="92"/>
      <c r="C259" s="94"/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</row>
    <row r="260">
      <c r="A260" s="92"/>
      <c r="B260" s="92"/>
      <c r="C260" s="94"/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</row>
    <row r="261">
      <c r="A261" s="92"/>
      <c r="B261" s="92"/>
      <c r="C261" s="94"/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</row>
    <row r="262">
      <c r="A262" s="92"/>
      <c r="B262" s="92"/>
      <c r="C262" s="94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</row>
    <row r="263">
      <c r="A263" s="92"/>
      <c r="B263" s="92"/>
      <c r="C263" s="94"/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</row>
    <row r="264">
      <c r="A264" s="92"/>
      <c r="B264" s="92"/>
      <c r="C264" s="94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</row>
    <row r="265">
      <c r="A265" s="92"/>
      <c r="B265" s="92"/>
      <c r="C265" s="94"/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</row>
    <row r="266">
      <c r="A266" s="92"/>
      <c r="B266" s="92"/>
      <c r="C266" s="94"/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</row>
    <row r="267">
      <c r="A267" s="92"/>
      <c r="B267" s="92"/>
      <c r="C267" s="94"/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</row>
    <row r="268">
      <c r="A268" s="92"/>
      <c r="B268" s="92"/>
      <c r="C268" s="94"/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</row>
    <row r="269">
      <c r="A269" s="92"/>
      <c r="B269" s="92"/>
      <c r="C269" s="94"/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</row>
    <row r="270">
      <c r="A270" s="92"/>
      <c r="B270" s="92"/>
      <c r="C270" s="94"/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</row>
    <row r="271">
      <c r="A271" s="92"/>
      <c r="B271" s="92"/>
      <c r="C271" s="94"/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</row>
    <row r="272">
      <c r="A272" s="92"/>
      <c r="B272" s="92"/>
      <c r="C272" s="94"/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</row>
    <row r="273">
      <c r="A273" s="92"/>
      <c r="B273" s="92"/>
      <c r="C273" s="94"/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</row>
    <row r="274">
      <c r="A274" s="92"/>
      <c r="B274" s="92"/>
      <c r="C274" s="94"/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</row>
    <row r="275">
      <c r="A275" s="92"/>
      <c r="B275" s="92"/>
      <c r="C275" s="94"/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</row>
    <row r="276">
      <c r="A276" s="92"/>
      <c r="B276" s="92"/>
      <c r="C276" s="94"/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</row>
    <row r="277">
      <c r="A277" s="92"/>
      <c r="B277" s="92"/>
      <c r="C277" s="94"/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</row>
    <row r="278">
      <c r="A278" s="92"/>
      <c r="B278" s="92"/>
      <c r="C278" s="94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</row>
    <row r="279">
      <c r="A279" s="92"/>
      <c r="B279" s="92"/>
      <c r="C279" s="94"/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</row>
    <row r="280">
      <c r="A280" s="92"/>
      <c r="B280" s="92"/>
      <c r="C280" s="94"/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</row>
    <row r="281">
      <c r="A281" s="92"/>
      <c r="B281" s="92"/>
      <c r="C281" s="94"/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</row>
    <row r="282">
      <c r="A282" s="92"/>
      <c r="B282" s="92"/>
      <c r="C282" s="94"/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</row>
    <row r="283">
      <c r="A283" s="92"/>
      <c r="B283" s="92"/>
      <c r="C283" s="94"/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</row>
    <row r="284">
      <c r="A284" s="92"/>
      <c r="B284" s="92"/>
      <c r="C284" s="94"/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</row>
    <row r="285">
      <c r="A285" s="92"/>
      <c r="B285" s="92"/>
      <c r="C285" s="94"/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</row>
    <row r="286">
      <c r="A286" s="92"/>
      <c r="B286" s="92"/>
      <c r="C286" s="94"/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</row>
    <row r="287">
      <c r="A287" s="92"/>
      <c r="B287" s="92"/>
      <c r="C287" s="94"/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</row>
    <row r="288">
      <c r="A288" s="92"/>
      <c r="B288" s="92"/>
      <c r="C288" s="94"/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</row>
    <row r="289">
      <c r="A289" s="92"/>
      <c r="B289" s="92"/>
      <c r="C289" s="94"/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</row>
    <row r="290">
      <c r="A290" s="92"/>
      <c r="B290" s="92"/>
      <c r="C290" s="94"/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</row>
    <row r="291">
      <c r="A291" s="92"/>
      <c r="B291" s="92"/>
      <c r="C291" s="94"/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</row>
    <row r="292">
      <c r="A292" s="92"/>
      <c r="B292" s="92"/>
      <c r="C292" s="94"/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</row>
    <row r="293">
      <c r="A293" s="92"/>
      <c r="B293" s="92"/>
      <c r="C293" s="94"/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</row>
    <row r="294">
      <c r="A294" s="92"/>
      <c r="B294" s="92"/>
      <c r="C294" s="94"/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</row>
    <row r="295">
      <c r="A295" s="92"/>
      <c r="B295" s="92"/>
      <c r="C295" s="94"/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</row>
    <row r="296">
      <c r="A296" s="92"/>
      <c r="B296" s="92"/>
      <c r="C296" s="94"/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</row>
    <row r="297">
      <c r="A297" s="92"/>
      <c r="B297" s="92"/>
      <c r="C297" s="94"/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</row>
    <row r="298">
      <c r="A298" s="92"/>
      <c r="B298" s="92"/>
      <c r="C298" s="94"/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</row>
    <row r="299">
      <c r="A299" s="92"/>
      <c r="B299" s="92"/>
      <c r="C299" s="94"/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</row>
    <row r="300">
      <c r="A300" s="92"/>
      <c r="B300" s="92"/>
      <c r="C300" s="94"/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</row>
    <row r="301">
      <c r="A301" s="92"/>
      <c r="B301" s="92"/>
      <c r="C301" s="94"/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</row>
    <row r="302">
      <c r="A302" s="92"/>
      <c r="B302" s="92"/>
      <c r="C302" s="94"/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</row>
    <row r="303">
      <c r="A303" s="92"/>
      <c r="B303" s="92"/>
      <c r="C303" s="94"/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</row>
    <row r="304">
      <c r="A304" s="92"/>
      <c r="B304" s="92"/>
      <c r="C304" s="94"/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</row>
    <row r="305">
      <c r="A305" s="92"/>
      <c r="B305" s="92"/>
      <c r="C305" s="94"/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</row>
    <row r="306">
      <c r="A306" s="92"/>
      <c r="B306" s="92"/>
      <c r="C306" s="94"/>
      <c r="D306" s="92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</row>
    <row r="307">
      <c r="A307" s="92"/>
      <c r="B307" s="92"/>
      <c r="C307" s="94"/>
      <c r="D307" s="92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</row>
    <row r="308">
      <c r="A308" s="92"/>
      <c r="B308" s="92"/>
      <c r="C308" s="94"/>
      <c r="D308" s="92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</row>
    <row r="309">
      <c r="A309" s="92"/>
      <c r="B309" s="92"/>
      <c r="C309" s="94"/>
      <c r="D309" s="92"/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</row>
    <row r="310">
      <c r="A310" s="92"/>
      <c r="B310" s="92"/>
      <c r="C310" s="94"/>
      <c r="D310" s="92"/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</row>
    <row r="311">
      <c r="A311" s="92"/>
      <c r="B311" s="92"/>
      <c r="C311" s="94"/>
      <c r="D311" s="92"/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</row>
    <row r="312">
      <c r="A312" s="92"/>
      <c r="B312" s="92"/>
      <c r="C312" s="94"/>
      <c r="D312" s="92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</row>
    <row r="313">
      <c r="A313" s="92"/>
      <c r="B313" s="92"/>
      <c r="C313" s="94"/>
      <c r="D313" s="92"/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</row>
    <row r="314">
      <c r="A314" s="92"/>
      <c r="B314" s="92"/>
      <c r="C314" s="94"/>
      <c r="D314" s="92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</row>
    <row r="315">
      <c r="A315" s="92"/>
      <c r="B315" s="92"/>
      <c r="C315" s="94"/>
      <c r="D315" s="92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</row>
    <row r="316">
      <c r="A316" s="92"/>
      <c r="B316" s="92"/>
      <c r="C316" s="94"/>
      <c r="D316" s="92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</row>
    <row r="317">
      <c r="A317" s="92"/>
      <c r="B317" s="92"/>
      <c r="C317" s="94"/>
      <c r="D317" s="92"/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</row>
    <row r="318">
      <c r="A318" s="92"/>
      <c r="B318" s="92"/>
      <c r="C318" s="94"/>
      <c r="D318" s="92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</row>
    <row r="319">
      <c r="A319" s="92"/>
      <c r="B319" s="92"/>
      <c r="C319" s="94"/>
      <c r="D319" s="92"/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</row>
    <row r="320">
      <c r="A320" s="92"/>
      <c r="B320" s="92"/>
      <c r="C320" s="94"/>
      <c r="D320" s="92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</row>
    <row r="321">
      <c r="A321" s="92"/>
      <c r="B321" s="92"/>
      <c r="C321" s="94"/>
      <c r="D321" s="92"/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</row>
    <row r="322">
      <c r="A322" s="92"/>
      <c r="B322" s="92"/>
      <c r="C322" s="94"/>
      <c r="D322" s="92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</row>
    <row r="323">
      <c r="A323" s="92"/>
      <c r="B323" s="92"/>
      <c r="C323" s="94"/>
      <c r="D323" s="92"/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</row>
    <row r="324">
      <c r="A324" s="92"/>
      <c r="B324" s="92"/>
      <c r="C324" s="94"/>
      <c r="D324" s="92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</row>
    <row r="325">
      <c r="A325" s="92"/>
      <c r="B325" s="92"/>
      <c r="C325" s="94"/>
      <c r="D325" s="92"/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</row>
    <row r="326">
      <c r="A326" s="92"/>
      <c r="B326" s="92"/>
      <c r="C326" s="94"/>
      <c r="D326" s="92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</row>
    <row r="327">
      <c r="A327" s="92"/>
      <c r="B327" s="92"/>
      <c r="C327" s="94"/>
      <c r="D327" s="92"/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</row>
    <row r="328">
      <c r="A328" s="92"/>
      <c r="B328" s="92"/>
      <c r="C328" s="94"/>
      <c r="D328" s="92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</row>
    <row r="329">
      <c r="A329" s="92"/>
      <c r="B329" s="92"/>
      <c r="C329" s="94"/>
      <c r="D329" s="92"/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</row>
    <row r="330">
      <c r="A330" s="92"/>
      <c r="B330" s="92"/>
      <c r="C330" s="94"/>
      <c r="D330" s="92"/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</row>
    <row r="331">
      <c r="A331" s="92"/>
      <c r="B331" s="92"/>
      <c r="C331" s="94"/>
      <c r="D331" s="92"/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</row>
    <row r="332">
      <c r="A332" s="92"/>
      <c r="B332" s="92"/>
      <c r="C332" s="94"/>
      <c r="D332" s="92"/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</row>
    <row r="333">
      <c r="A333" s="92"/>
      <c r="B333" s="92"/>
      <c r="C333" s="94"/>
      <c r="D333" s="92"/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</row>
    <row r="334">
      <c r="A334" s="92"/>
      <c r="B334" s="92"/>
      <c r="C334" s="94"/>
      <c r="D334" s="92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</row>
    <row r="335">
      <c r="A335" s="92"/>
      <c r="B335" s="92"/>
      <c r="C335" s="94"/>
      <c r="D335" s="92"/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</row>
    <row r="336">
      <c r="A336" s="92"/>
      <c r="B336" s="92"/>
      <c r="C336" s="94"/>
      <c r="D336" s="92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</row>
    <row r="337">
      <c r="A337" s="92"/>
      <c r="B337" s="92"/>
      <c r="C337" s="94"/>
      <c r="D337" s="92"/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</row>
    <row r="338">
      <c r="A338" s="92"/>
      <c r="B338" s="92"/>
      <c r="C338" s="94"/>
      <c r="D338" s="92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</row>
    <row r="339">
      <c r="A339" s="92"/>
      <c r="B339" s="92"/>
      <c r="C339" s="94"/>
      <c r="D339" s="92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</row>
    <row r="340">
      <c r="A340" s="92"/>
      <c r="B340" s="92"/>
      <c r="C340" s="94"/>
      <c r="D340" s="92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</row>
    <row r="341">
      <c r="A341" s="92"/>
      <c r="B341" s="92"/>
      <c r="C341" s="94"/>
      <c r="D341" s="92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</row>
    <row r="342">
      <c r="A342" s="92"/>
      <c r="B342" s="92"/>
      <c r="C342" s="94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</row>
    <row r="343">
      <c r="A343" s="92"/>
      <c r="B343" s="92"/>
      <c r="C343" s="94"/>
      <c r="D343" s="92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</row>
    <row r="344">
      <c r="A344" s="92"/>
      <c r="B344" s="92"/>
      <c r="C344" s="94"/>
      <c r="D344" s="92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</row>
    <row r="345">
      <c r="A345" s="92"/>
      <c r="B345" s="92"/>
      <c r="C345" s="94"/>
      <c r="D345" s="92"/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</row>
    <row r="346">
      <c r="A346" s="92"/>
      <c r="B346" s="92"/>
      <c r="C346" s="94"/>
      <c r="D346" s="92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</row>
    <row r="347">
      <c r="A347" s="92"/>
      <c r="B347" s="92"/>
      <c r="C347" s="94"/>
      <c r="D347" s="92"/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</row>
    <row r="348">
      <c r="A348" s="92"/>
      <c r="B348" s="92"/>
      <c r="C348" s="94"/>
      <c r="D348" s="92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</row>
    <row r="349">
      <c r="A349" s="92"/>
      <c r="B349" s="92"/>
      <c r="C349" s="94"/>
      <c r="D349" s="92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</row>
    <row r="350">
      <c r="A350" s="92"/>
      <c r="B350" s="92"/>
      <c r="C350" s="94"/>
      <c r="D350" s="92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</row>
    <row r="351">
      <c r="A351" s="92"/>
      <c r="B351" s="92"/>
      <c r="C351" s="94"/>
      <c r="D351" s="92"/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</row>
    <row r="352">
      <c r="A352" s="92"/>
      <c r="B352" s="92"/>
      <c r="C352" s="94"/>
      <c r="D352" s="92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</row>
    <row r="353">
      <c r="A353" s="92"/>
      <c r="B353" s="92"/>
      <c r="C353" s="94"/>
      <c r="D353" s="92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</row>
    <row r="354">
      <c r="A354" s="92"/>
      <c r="B354" s="92"/>
      <c r="C354" s="94"/>
      <c r="D354" s="92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</row>
    <row r="355">
      <c r="A355" s="92"/>
      <c r="B355" s="92"/>
      <c r="C355" s="94"/>
      <c r="D355" s="92"/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</row>
    <row r="356">
      <c r="A356" s="92"/>
      <c r="B356" s="92"/>
      <c r="C356" s="94"/>
      <c r="D356" s="92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</row>
    <row r="357">
      <c r="A357" s="92"/>
      <c r="B357" s="92"/>
      <c r="C357" s="94"/>
      <c r="D357" s="92"/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</row>
    <row r="358">
      <c r="A358" s="92"/>
      <c r="B358" s="92"/>
      <c r="C358" s="94"/>
      <c r="D358" s="92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</row>
    <row r="359">
      <c r="A359" s="92"/>
      <c r="B359" s="92"/>
      <c r="C359" s="94"/>
      <c r="D359" s="92"/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</row>
    <row r="360">
      <c r="A360" s="92"/>
      <c r="B360" s="92"/>
      <c r="C360" s="94"/>
      <c r="D360" s="92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</row>
    <row r="361">
      <c r="A361" s="92"/>
      <c r="B361" s="92"/>
      <c r="C361" s="94"/>
      <c r="D361" s="92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</row>
    <row r="362">
      <c r="A362" s="92"/>
      <c r="B362" s="92"/>
      <c r="C362" s="94"/>
      <c r="D362" s="92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</row>
    <row r="363">
      <c r="A363" s="92"/>
      <c r="B363" s="92"/>
      <c r="C363" s="94"/>
      <c r="D363" s="92"/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</row>
    <row r="364">
      <c r="A364" s="92"/>
      <c r="B364" s="92"/>
      <c r="C364" s="94"/>
      <c r="D364" s="92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</row>
    <row r="365">
      <c r="A365" s="92"/>
      <c r="B365" s="92"/>
      <c r="C365" s="94"/>
      <c r="D365" s="92"/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</row>
    <row r="366">
      <c r="A366" s="92"/>
      <c r="B366" s="92"/>
      <c r="C366" s="94"/>
      <c r="D366" s="92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</row>
    <row r="367">
      <c r="A367" s="92"/>
      <c r="B367" s="92"/>
      <c r="C367" s="94"/>
      <c r="D367" s="92"/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</row>
    <row r="368">
      <c r="A368" s="92"/>
      <c r="B368" s="92"/>
      <c r="C368" s="94"/>
      <c r="D368" s="92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</row>
    <row r="369">
      <c r="A369" s="92"/>
      <c r="B369" s="92"/>
      <c r="C369" s="94"/>
      <c r="D369" s="92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</row>
    <row r="370">
      <c r="A370" s="92"/>
      <c r="B370" s="92"/>
      <c r="C370" s="94"/>
      <c r="D370" s="92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</row>
    <row r="371">
      <c r="A371" s="92"/>
      <c r="B371" s="92"/>
      <c r="C371" s="94"/>
      <c r="D371" s="92"/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</row>
    <row r="372">
      <c r="A372" s="92"/>
      <c r="B372" s="92"/>
      <c r="C372" s="94"/>
      <c r="D372" s="92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</row>
    <row r="373">
      <c r="A373" s="92"/>
      <c r="B373" s="92"/>
      <c r="C373" s="94"/>
      <c r="D373" s="92"/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</row>
    <row r="374">
      <c r="A374" s="92"/>
      <c r="B374" s="92"/>
      <c r="C374" s="94"/>
      <c r="D374" s="92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</row>
    <row r="375">
      <c r="A375" s="92"/>
      <c r="B375" s="92"/>
      <c r="C375" s="94"/>
      <c r="D375" s="92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</row>
    <row r="376">
      <c r="A376" s="92"/>
      <c r="B376" s="92"/>
      <c r="C376" s="94"/>
      <c r="D376" s="92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</row>
    <row r="377">
      <c r="A377" s="92"/>
      <c r="B377" s="92"/>
      <c r="C377" s="94"/>
      <c r="D377" s="92"/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</row>
    <row r="378">
      <c r="A378" s="92"/>
      <c r="B378" s="92"/>
      <c r="C378" s="94"/>
      <c r="D378" s="92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</row>
    <row r="379">
      <c r="A379" s="92"/>
      <c r="B379" s="92"/>
      <c r="C379" s="94"/>
      <c r="D379" s="92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</row>
    <row r="380">
      <c r="A380" s="92"/>
      <c r="B380" s="92"/>
      <c r="C380" s="94"/>
      <c r="D380" s="92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</row>
    <row r="381">
      <c r="A381" s="92"/>
      <c r="B381" s="92"/>
      <c r="C381" s="94"/>
      <c r="D381" s="92"/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</row>
    <row r="382">
      <c r="A382" s="92"/>
      <c r="B382" s="92"/>
      <c r="C382" s="94"/>
      <c r="D382" s="92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</row>
    <row r="383">
      <c r="A383" s="92"/>
      <c r="B383" s="92"/>
      <c r="C383" s="94"/>
      <c r="D383" s="92"/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</row>
    <row r="384">
      <c r="A384" s="92"/>
      <c r="B384" s="92"/>
      <c r="C384" s="94"/>
      <c r="D384" s="92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</row>
    <row r="385">
      <c r="A385" s="92"/>
      <c r="B385" s="92"/>
      <c r="C385" s="94"/>
      <c r="D385" s="92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</row>
    <row r="386">
      <c r="A386" s="92"/>
      <c r="B386" s="92"/>
      <c r="C386" s="94"/>
      <c r="D386" s="92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</row>
    <row r="387">
      <c r="A387" s="92"/>
      <c r="B387" s="92"/>
      <c r="C387" s="94"/>
      <c r="D387" s="92"/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</row>
    <row r="388">
      <c r="A388" s="92"/>
      <c r="B388" s="92"/>
      <c r="C388" s="94"/>
      <c r="D388" s="92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</row>
    <row r="389">
      <c r="A389" s="92"/>
      <c r="B389" s="92"/>
      <c r="C389" s="94"/>
      <c r="D389" s="92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</row>
    <row r="390">
      <c r="A390" s="92"/>
      <c r="B390" s="92"/>
      <c r="C390" s="94"/>
      <c r="D390" s="92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</row>
    <row r="391">
      <c r="A391" s="92"/>
      <c r="B391" s="92"/>
      <c r="C391" s="94"/>
      <c r="D391" s="92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</row>
    <row r="392">
      <c r="A392" s="92"/>
      <c r="B392" s="92"/>
      <c r="C392" s="94"/>
      <c r="D392" s="92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</row>
    <row r="393">
      <c r="A393" s="92"/>
      <c r="B393" s="92"/>
      <c r="C393" s="94"/>
      <c r="D393" s="92"/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</row>
    <row r="394">
      <c r="A394" s="92"/>
      <c r="B394" s="92"/>
      <c r="C394" s="94"/>
      <c r="D394" s="92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</row>
    <row r="395">
      <c r="A395" s="92"/>
      <c r="B395" s="92"/>
      <c r="C395" s="94"/>
      <c r="D395" s="92"/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</row>
    <row r="396">
      <c r="A396" s="92"/>
      <c r="B396" s="92"/>
      <c r="C396" s="94"/>
      <c r="D396" s="92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</row>
    <row r="397">
      <c r="A397" s="92"/>
      <c r="B397" s="92"/>
      <c r="C397" s="94"/>
      <c r="D397" s="92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</row>
    <row r="398">
      <c r="A398" s="92"/>
      <c r="B398" s="92"/>
      <c r="C398" s="94"/>
      <c r="D398" s="92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</row>
    <row r="399">
      <c r="A399" s="92"/>
      <c r="B399" s="92"/>
      <c r="C399" s="94"/>
      <c r="D399" s="92"/>
      <c r="E399" s="92"/>
      <c r="F399" s="92"/>
      <c r="G399" s="92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</row>
    <row r="400">
      <c r="A400" s="92"/>
      <c r="B400" s="92"/>
      <c r="C400" s="94"/>
      <c r="D400" s="92"/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</row>
    <row r="401">
      <c r="A401" s="92"/>
      <c r="B401" s="92"/>
      <c r="C401" s="94"/>
      <c r="D401" s="92"/>
      <c r="E401" s="92"/>
      <c r="F401" s="92"/>
      <c r="G401" s="92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</row>
    <row r="402">
      <c r="A402" s="92"/>
      <c r="B402" s="92"/>
      <c r="C402" s="94"/>
      <c r="D402" s="92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</row>
    <row r="403">
      <c r="A403" s="92"/>
      <c r="B403" s="92"/>
      <c r="C403" s="94"/>
      <c r="D403" s="92"/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</row>
    <row r="404">
      <c r="A404" s="92"/>
      <c r="B404" s="92"/>
      <c r="C404" s="94"/>
      <c r="D404" s="92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</row>
    <row r="405">
      <c r="A405" s="92"/>
      <c r="B405" s="92"/>
      <c r="C405" s="94"/>
      <c r="D405" s="92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</row>
    <row r="406">
      <c r="A406" s="92"/>
      <c r="B406" s="92"/>
      <c r="C406" s="94"/>
      <c r="D406" s="92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</row>
    <row r="407">
      <c r="A407" s="92"/>
      <c r="B407" s="92"/>
      <c r="C407" s="94"/>
      <c r="D407" s="92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</row>
    <row r="408">
      <c r="A408" s="92"/>
      <c r="B408" s="92"/>
      <c r="C408" s="94"/>
      <c r="D408" s="92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</row>
    <row r="409">
      <c r="A409" s="92"/>
      <c r="B409" s="92"/>
      <c r="C409" s="94"/>
      <c r="D409" s="92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</row>
    <row r="410">
      <c r="A410" s="92"/>
      <c r="B410" s="92"/>
      <c r="C410" s="94"/>
      <c r="D410" s="92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</row>
    <row r="411">
      <c r="A411" s="92"/>
      <c r="B411" s="92"/>
      <c r="C411" s="94"/>
      <c r="D411" s="92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</row>
    <row r="412">
      <c r="A412" s="92"/>
      <c r="B412" s="92"/>
      <c r="C412" s="94"/>
      <c r="D412" s="92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</row>
    <row r="413">
      <c r="A413" s="92"/>
      <c r="B413" s="92"/>
      <c r="C413" s="94"/>
      <c r="D413" s="92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</row>
    <row r="414">
      <c r="A414" s="92"/>
      <c r="B414" s="92"/>
      <c r="C414" s="94"/>
      <c r="D414" s="92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</row>
    <row r="415">
      <c r="A415" s="92"/>
      <c r="B415" s="92"/>
      <c r="C415" s="94"/>
      <c r="D415" s="92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</row>
    <row r="416">
      <c r="A416" s="92"/>
      <c r="B416" s="92"/>
      <c r="C416" s="94"/>
      <c r="D416" s="92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</row>
    <row r="417">
      <c r="A417" s="92"/>
      <c r="B417" s="92"/>
      <c r="C417" s="94"/>
      <c r="D417" s="92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</row>
    <row r="418">
      <c r="A418" s="92"/>
      <c r="B418" s="92"/>
      <c r="C418" s="94"/>
      <c r="D418" s="92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</row>
    <row r="419">
      <c r="A419" s="92"/>
      <c r="B419" s="92"/>
      <c r="C419" s="94"/>
      <c r="D419" s="92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</row>
    <row r="420">
      <c r="A420" s="92"/>
      <c r="B420" s="92"/>
      <c r="C420" s="94"/>
      <c r="D420" s="92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</row>
    <row r="421">
      <c r="A421" s="92"/>
      <c r="B421" s="92"/>
      <c r="C421" s="94"/>
      <c r="D421" s="92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</row>
    <row r="422">
      <c r="A422" s="92"/>
      <c r="B422" s="92"/>
      <c r="C422" s="94"/>
      <c r="D422" s="92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</row>
    <row r="423">
      <c r="A423" s="92"/>
      <c r="B423" s="92"/>
      <c r="C423" s="94"/>
      <c r="D423" s="92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</row>
    <row r="424">
      <c r="A424" s="92"/>
      <c r="B424" s="92"/>
      <c r="C424" s="94"/>
      <c r="D424" s="92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</row>
    <row r="425">
      <c r="A425" s="92"/>
      <c r="B425" s="92"/>
      <c r="C425" s="94"/>
      <c r="D425" s="92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</row>
    <row r="426">
      <c r="A426" s="92"/>
      <c r="B426" s="92"/>
      <c r="C426" s="94"/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</row>
    <row r="427">
      <c r="A427" s="92"/>
      <c r="B427" s="92"/>
      <c r="C427" s="94"/>
      <c r="D427" s="92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</row>
    <row r="428">
      <c r="A428" s="92"/>
      <c r="B428" s="92"/>
      <c r="C428" s="94"/>
      <c r="D428" s="92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</row>
    <row r="429">
      <c r="A429" s="92"/>
      <c r="B429" s="92"/>
      <c r="C429" s="94"/>
      <c r="D429" s="92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</row>
    <row r="430">
      <c r="A430" s="92"/>
      <c r="B430" s="92"/>
      <c r="C430" s="94"/>
      <c r="D430" s="92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</row>
    <row r="431">
      <c r="A431" s="92"/>
      <c r="B431" s="92"/>
      <c r="C431" s="94"/>
      <c r="D431" s="92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</row>
    <row r="432">
      <c r="A432" s="92"/>
      <c r="B432" s="92"/>
      <c r="C432" s="94"/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</row>
    <row r="433">
      <c r="A433" s="92"/>
      <c r="B433" s="92"/>
      <c r="C433" s="94"/>
      <c r="D433" s="92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</row>
    <row r="434">
      <c r="A434" s="92"/>
      <c r="B434" s="92"/>
      <c r="C434" s="94"/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</row>
    <row r="435">
      <c r="A435" s="92"/>
      <c r="B435" s="92"/>
      <c r="C435" s="94"/>
      <c r="D435" s="92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</row>
    <row r="436">
      <c r="A436" s="92"/>
      <c r="B436" s="92"/>
      <c r="C436" s="94"/>
      <c r="D436" s="92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</row>
    <row r="437">
      <c r="A437" s="92"/>
      <c r="B437" s="92"/>
      <c r="C437" s="94"/>
      <c r="D437" s="92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</row>
    <row r="438">
      <c r="A438" s="92"/>
      <c r="B438" s="92"/>
      <c r="C438" s="94"/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</row>
    <row r="439">
      <c r="A439" s="92"/>
      <c r="B439" s="92"/>
      <c r="C439" s="94"/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</row>
    <row r="440">
      <c r="A440" s="92"/>
      <c r="B440" s="92"/>
      <c r="C440" s="94"/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</row>
    <row r="441">
      <c r="A441" s="92"/>
      <c r="B441" s="92"/>
      <c r="C441" s="94"/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</row>
    <row r="442">
      <c r="A442" s="92"/>
      <c r="B442" s="92"/>
      <c r="C442" s="94"/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</row>
    <row r="443">
      <c r="A443" s="92"/>
      <c r="B443" s="92"/>
      <c r="C443" s="94"/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</row>
    <row r="444">
      <c r="A444" s="92"/>
      <c r="B444" s="92"/>
      <c r="C444" s="94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</row>
    <row r="445">
      <c r="A445" s="92"/>
      <c r="B445" s="92"/>
      <c r="C445" s="94"/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</row>
    <row r="446">
      <c r="A446" s="92"/>
      <c r="B446" s="92"/>
      <c r="C446" s="94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</row>
    <row r="447">
      <c r="A447" s="92"/>
      <c r="B447" s="92"/>
      <c r="C447" s="94"/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</row>
    <row r="448">
      <c r="A448" s="92"/>
      <c r="B448" s="92"/>
      <c r="C448" s="94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</row>
    <row r="449">
      <c r="A449" s="92"/>
      <c r="B449" s="92"/>
      <c r="C449" s="94"/>
      <c r="D449" s="92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</row>
    <row r="450">
      <c r="A450" s="92"/>
      <c r="B450" s="92"/>
      <c r="C450" s="94"/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</row>
    <row r="451">
      <c r="A451" s="92"/>
      <c r="B451" s="92"/>
      <c r="C451" s="94"/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</row>
    <row r="452">
      <c r="A452" s="92"/>
      <c r="B452" s="92"/>
      <c r="C452" s="94"/>
      <c r="D452" s="92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</row>
    <row r="453">
      <c r="A453" s="92"/>
      <c r="B453" s="92"/>
      <c r="C453" s="94"/>
      <c r="D453" s="92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</row>
    <row r="454">
      <c r="A454" s="92"/>
      <c r="B454" s="92"/>
      <c r="C454" s="94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</row>
    <row r="455">
      <c r="A455" s="92"/>
      <c r="B455" s="92"/>
      <c r="C455" s="94"/>
      <c r="D455" s="92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</row>
    <row r="456">
      <c r="A456" s="92"/>
      <c r="B456" s="92"/>
      <c r="C456" s="94"/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</row>
    <row r="457">
      <c r="A457" s="92"/>
      <c r="B457" s="92"/>
      <c r="C457" s="94"/>
      <c r="D457" s="92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</row>
    <row r="458">
      <c r="A458" s="92"/>
      <c r="B458" s="92"/>
      <c r="C458" s="94"/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</row>
    <row r="459">
      <c r="A459" s="92"/>
      <c r="B459" s="92"/>
      <c r="C459" s="94"/>
      <c r="D459" s="92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</row>
    <row r="460">
      <c r="A460" s="92"/>
      <c r="B460" s="92"/>
      <c r="C460" s="94"/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</row>
    <row r="461">
      <c r="A461" s="92"/>
      <c r="B461" s="92"/>
      <c r="C461" s="94"/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</row>
    <row r="462">
      <c r="A462" s="92"/>
      <c r="B462" s="92"/>
      <c r="C462" s="94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</row>
    <row r="463">
      <c r="A463" s="92"/>
      <c r="B463" s="92"/>
      <c r="C463" s="94"/>
      <c r="D463" s="92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</row>
    <row r="464">
      <c r="A464" s="92"/>
      <c r="B464" s="92"/>
      <c r="C464" s="94"/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</row>
    <row r="465">
      <c r="A465" s="92"/>
      <c r="B465" s="92"/>
      <c r="C465" s="94"/>
      <c r="D465" s="92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</row>
    <row r="466">
      <c r="A466" s="92"/>
      <c r="B466" s="92"/>
      <c r="C466" s="94"/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</row>
    <row r="467">
      <c r="A467" s="92"/>
      <c r="B467" s="92"/>
      <c r="C467" s="94"/>
      <c r="D467" s="92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</row>
    <row r="468">
      <c r="A468" s="92"/>
      <c r="B468" s="92"/>
      <c r="C468" s="94"/>
      <c r="D468" s="92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</row>
    <row r="469">
      <c r="A469" s="92"/>
      <c r="B469" s="92"/>
      <c r="C469" s="94"/>
      <c r="D469" s="92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</row>
    <row r="470">
      <c r="A470" s="92"/>
      <c r="B470" s="92"/>
      <c r="C470" s="94"/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</row>
    <row r="471">
      <c r="A471" s="92"/>
      <c r="B471" s="92"/>
      <c r="C471" s="94"/>
      <c r="D471" s="92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</row>
    <row r="472">
      <c r="A472" s="92"/>
      <c r="B472" s="92"/>
      <c r="C472" s="94"/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</row>
    <row r="473">
      <c r="A473" s="92"/>
      <c r="B473" s="92"/>
      <c r="C473" s="94"/>
      <c r="D473" s="92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</row>
    <row r="474">
      <c r="A474" s="92"/>
      <c r="B474" s="92"/>
      <c r="C474" s="94"/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</row>
    <row r="475">
      <c r="A475" s="92"/>
      <c r="B475" s="92"/>
      <c r="C475" s="94"/>
      <c r="D475" s="92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</row>
    <row r="476">
      <c r="A476" s="92"/>
      <c r="B476" s="92"/>
      <c r="C476" s="94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</row>
    <row r="477">
      <c r="A477" s="92"/>
      <c r="B477" s="92"/>
      <c r="C477" s="94"/>
      <c r="D477" s="92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</row>
    <row r="478">
      <c r="A478" s="92"/>
      <c r="B478" s="92"/>
      <c r="C478" s="94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</row>
    <row r="479">
      <c r="A479" s="92"/>
      <c r="B479" s="92"/>
      <c r="C479" s="94"/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</row>
    <row r="480">
      <c r="A480" s="92"/>
      <c r="B480" s="92"/>
      <c r="C480" s="94"/>
      <c r="D480" s="92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</row>
    <row r="481">
      <c r="A481" s="92"/>
      <c r="B481" s="92"/>
      <c r="C481" s="94"/>
      <c r="D481" s="92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</row>
    <row r="482">
      <c r="A482" s="92"/>
      <c r="B482" s="92"/>
      <c r="C482" s="94"/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</row>
    <row r="483">
      <c r="A483" s="92"/>
      <c r="B483" s="92"/>
      <c r="C483" s="94"/>
      <c r="D483" s="92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</row>
    <row r="484">
      <c r="A484" s="92"/>
      <c r="B484" s="92"/>
      <c r="C484" s="94"/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</row>
    <row r="485">
      <c r="A485" s="92"/>
      <c r="B485" s="92"/>
      <c r="C485" s="94"/>
      <c r="D485" s="92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</row>
    <row r="486">
      <c r="A486" s="92"/>
      <c r="B486" s="92"/>
      <c r="C486" s="94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</row>
    <row r="487">
      <c r="A487" s="92"/>
      <c r="B487" s="92"/>
      <c r="C487" s="94"/>
      <c r="D487" s="92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</row>
    <row r="488">
      <c r="A488" s="92"/>
      <c r="B488" s="92"/>
      <c r="C488" s="94"/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</row>
    <row r="489">
      <c r="A489" s="92"/>
      <c r="B489" s="92"/>
      <c r="C489" s="94"/>
      <c r="D489" s="92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</row>
    <row r="490">
      <c r="A490" s="92"/>
      <c r="B490" s="92"/>
      <c r="C490" s="94"/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</row>
    <row r="491">
      <c r="A491" s="92"/>
      <c r="B491" s="92"/>
      <c r="C491" s="94"/>
      <c r="D491" s="92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</row>
    <row r="492">
      <c r="A492" s="92"/>
      <c r="B492" s="92"/>
      <c r="C492" s="94"/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</row>
    <row r="493">
      <c r="A493" s="92"/>
      <c r="B493" s="92"/>
      <c r="C493" s="94"/>
      <c r="D493" s="92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</row>
    <row r="494">
      <c r="A494" s="92"/>
      <c r="B494" s="92"/>
      <c r="C494" s="94"/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</row>
    <row r="495">
      <c r="A495" s="92"/>
      <c r="B495" s="92"/>
      <c r="C495" s="94"/>
      <c r="D495" s="92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</row>
    <row r="496">
      <c r="A496" s="92"/>
      <c r="B496" s="92"/>
      <c r="C496" s="94"/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</row>
    <row r="497">
      <c r="A497" s="92"/>
      <c r="B497" s="92"/>
      <c r="C497" s="94"/>
      <c r="D497" s="92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</row>
    <row r="498">
      <c r="A498" s="92"/>
      <c r="B498" s="92"/>
      <c r="C498" s="94"/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</row>
    <row r="499">
      <c r="A499" s="92"/>
      <c r="B499" s="92"/>
      <c r="C499" s="94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</row>
    <row r="500">
      <c r="A500" s="92"/>
      <c r="B500" s="92"/>
      <c r="C500" s="94"/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</row>
    <row r="501">
      <c r="A501" s="92"/>
      <c r="B501" s="92"/>
      <c r="C501" s="94"/>
      <c r="D501" s="92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</row>
    <row r="502">
      <c r="A502" s="92"/>
      <c r="B502" s="92"/>
      <c r="C502" s="94"/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</row>
    <row r="503">
      <c r="A503" s="92"/>
      <c r="B503" s="92"/>
      <c r="C503" s="94"/>
      <c r="D503" s="92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</row>
    <row r="504">
      <c r="A504" s="92"/>
      <c r="B504" s="92"/>
      <c r="C504" s="94"/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</row>
    <row r="505">
      <c r="A505" s="92"/>
      <c r="B505" s="92"/>
      <c r="C505" s="94"/>
      <c r="D505" s="92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</row>
    <row r="506">
      <c r="A506" s="92"/>
      <c r="B506" s="92"/>
      <c r="C506" s="94"/>
      <c r="D506" s="92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</row>
    <row r="507">
      <c r="A507" s="92"/>
      <c r="B507" s="92"/>
      <c r="C507" s="94"/>
      <c r="D507" s="92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</row>
    <row r="508">
      <c r="A508" s="92"/>
      <c r="B508" s="92"/>
      <c r="C508" s="94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</row>
    <row r="509">
      <c r="A509" s="92"/>
      <c r="B509" s="92"/>
      <c r="C509" s="94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</row>
    <row r="510">
      <c r="A510" s="92"/>
      <c r="B510" s="92"/>
      <c r="C510" s="94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</row>
    <row r="511">
      <c r="A511" s="92"/>
      <c r="B511" s="92"/>
      <c r="C511" s="94"/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</row>
    <row r="512">
      <c r="A512" s="92"/>
      <c r="B512" s="92"/>
      <c r="C512" s="94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</row>
    <row r="513">
      <c r="A513" s="92"/>
      <c r="B513" s="92"/>
      <c r="C513" s="94"/>
      <c r="D513" s="92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</row>
    <row r="514">
      <c r="A514" s="92"/>
      <c r="B514" s="92"/>
      <c r="C514" s="94"/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</row>
    <row r="515">
      <c r="A515" s="92"/>
      <c r="B515" s="92"/>
      <c r="C515" s="94"/>
      <c r="D515" s="92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</row>
    <row r="516">
      <c r="A516" s="92"/>
      <c r="B516" s="92"/>
      <c r="C516" s="94"/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</row>
    <row r="517">
      <c r="A517" s="92"/>
      <c r="B517" s="92"/>
      <c r="C517" s="94"/>
      <c r="D517" s="92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</row>
    <row r="518">
      <c r="A518" s="92"/>
      <c r="B518" s="92"/>
      <c r="C518" s="94"/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</row>
    <row r="519">
      <c r="A519" s="92"/>
      <c r="B519" s="92"/>
      <c r="C519" s="94"/>
      <c r="D519" s="92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</row>
    <row r="520">
      <c r="A520" s="92"/>
      <c r="B520" s="92"/>
      <c r="C520" s="94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</row>
    <row r="521">
      <c r="A521" s="92"/>
      <c r="B521" s="92"/>
      <c r="C521" s="94"/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</row>
    <row r="522">
      <c r="A522" s="92"/>
      <c r="B522" s="92"/>
      <c r="C522" s="94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</row>
    <row r="523">
      <c r="A523" s="92"/>
      <c r="B523" s="92"/>
      <c r="C523" s="94"/>
      <c r="D523" s="92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</row>
    <row r="524">
      <c r="A524" s="92"/>
      <c r="B524" s="92"/>
      <c r="C524" s="94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</row>
    <row r="525">
      <c r="A525" s="92"/>
      <c r="B525" s="92"/>
      <c r="C525" s="94"/>
      <c r="D525" s="92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</row>
    <row r="526">
      <c r="A526" s="92"/>
      <c r="B526" s="92"/>
      <c r="C526" s="94"/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</row>
    <row r="527">
      <c r="A527" s="92"/>
      <c r="B527" s="92"/>
      <c r="C527" s="94"/>
      <c r="D527" s="92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</row>
    <row r="528">
      <c r="A528" s="92"/>
      <c r="B528" s="92"/>
      <c r="C528" s="94"/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</row>
    <row r="529">
      <c r="A529" s="92"/>
      <c r="B529" s="92"/>
      <c r="C529" s="94"/>
      <c r="D529" s="92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</row>
    <row r="530">
      <c r="A530" s="92"/>
      <c r="B530" s="92"/>
      <c r="C530" s="94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</row>
    <row r="531">
      <c r="A531" s="92"/>
      <c r="B531" s="92"/>
      <c r="C531" s="94"/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</row>
    <row r="532">
      <c r="A532" s="92"/>
      <c r="B532" s="92"/>
      <c r="C532" s="94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</row>
    <row r="533">
      <c r="A533" s="92"/>
      <c r="B533" s="92"/>
      <c r="C533" s="94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</row>
    <row r="534">
      <c r="A534" s="92"/>
      <c r="B534" s="92"/>
      <c r="C534" s="94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</row>
    <row r="535">
      <c r="A535" s="92"/>
      <c r="B535" s="92"/>
      <c r="C535" s="94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</row>
    <row r="536">
      <c r="A536" s="92"/>
      <c r="B536" s="92"/>
      <c r="C536" s="94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</row>
    <row r="537">
      <c r="A537" s="92"/>
      <c r="B537" s="92"/>
      <c r="C537" s="94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</row>
    <row r="538">
      <c r="A538" s="92"/>
      <c r="B538" s="92"/>
      <c r="C538" s="94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</row>
    <row r="539">
      <c r="A539" s="92"/>
      <c r="B539" s="92"/>
      <c r="C539" s="94"/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</row>
    <row r="540">
      <c r="A540" s="92"/>
      <c r="B540" s="92"/>
      <c r="C540" s="94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</row>
    <row r="541">
      <c r="A541" s="92"/>
      <c r="B541" s="92"/>
      <c r="C541" s="94"/>
      <c r="D541" s="92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</row>
    <row r="542">
      <c r="A542" s="92"/>
      <c r="B542" s="92"/>
      <c r="C542" s="94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</row>
    <row r="543">
      <c r="A543" s="92"/>
      <c r="B543" s="92"/>
      <c r="C543" s="94"/>
      <c r="D543" s="92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</row>
    <row r="544">
      <c r="A544" s="92"/>
      <c r="B544" s="92"/>
      <c r="C544" s="94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</row>
    <row r="545">
      <c r="A545" s="92"/>
      <c r="B545" s="92"/>
      <c r="C545" s="94"/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</row>
    <row r="546">
      <c r="A546" s="92"/>
      <c r="B546" s="92"/>
      <c r="C546" s="94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</row>
    <row r="547">
      <c r="A547" s="92"/>
      <c r="B547" s="92"/>
      <c r="C547" s="94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</row>
    <row r="548">
      <c r="A548" s="92"/>
      <c r="B548" s="92"/>
      <c r="C548" s="94"/>
      <c r="D548" s="92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</row>
    <row r="549">
      <c r="A549" s="92"/>
      <c r="B549" s="92"/>
      <c r="C549" s="94"/>
      <c r="D549" s="92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</row>
    <row r="550">
      <c r="A550" s="92"/>
      <c r="B550" s="92"/>
      <c r="C550" s="94"/>
      <c r="D550" s="92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</row>
    <row r="551">
      <c r="A551" s="92"/>
      <c r="B551" s="92"/>
      <c r="C551" s="94"/>
      <c r="D551" s="92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</row>
    <row r="552">
      <c r="A552" s="92"/>
      <c r="B552" s="92"/>
      <c r="C552" s="94"/>
      <c r="D552" s="92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</row>
    <row r="553">
      <c r="A553" s="92"/>
      <c r="B553" s="92"/>
      <c r="C553" s="94"/>
      <c r="D553" s="92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</row>
    <row r="554">
      <c r="A554" s="92"/>
      <c r="B554" s="92"/>
      <c r="C554" s="94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</row>
    <row r="555">
      <c r="A555" s="92"/>
      <c r="B555" s="92"/>
      <c r="C555" s="94"/>
      <c r="D555" s="92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</row>
    <row r="556">
      <c r="A556" s="92"/>
      <c r="B556" s="92"/>
      <c r="C556" s="94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</row>
    <row r="557">
      <c r="A557" s="92"/>
      <c r="B557" s="92"/>
      <c r="C557" s="94"/>
      <c r="D557" s="92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</row>
    <row r="558">
      <c r="A558" s="92"/>
      <c r="B558" s="92"/>
      <c r="C558" s="94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</row>
    <row r="559">
      <c r="A559" s="92"/>
      <c r="B559" s="92"/>
      <c r="C559" s="94"/>
      <c r="D559" s="92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</row>
    <row r="560">
      <c r="A560" s="92"/>
      <c r="B560" s="92"/>
      <c r="C560" s="94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</row>
    <row r="561">
      <c r="A561" s="92"/>
      <c r="B561" s="92"/>
      <c r="C561" s="94"/>
      <c r="D561" s="92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</row>
    <row r="562">
      <c r="A562" s="92"/>
      <c r="B562" s="92"/>
      <c r="C562" s="94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</row>
    <row r="563">
      <c r="A563" s="92"/>
      <c r="B563" s="92"/>
      <c r="C563" s="94"/>
      <c r="D563" s="92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</row>
    <row r="564">
      <c r="A564" s="92"/>
      <c r="B564" s="92"/>
      <c r="C564" s="94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</row>
    <row r="565">
      <c r="A565" s="92"/>
      <c r="B565" s="92"/>
      <c r="C565" s="94"/>
      <c r="D565" s="92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</row>
    <row r="566">
      <c r="A566" s="92"/>
      <c r="B566" s="92"/>
      <c r="C566" s="94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</row>
    <row r="567">
      <c r="A567" s="92"/>
      <c r="B567" s="92"/>
      <c r="C567" s="94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</row>
    <row r="568">
      <c r="A568" s="92"/>
      <c r="B568" s="92"/>
      <c r="C568" s="94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</row>
    <row r="569">
      <c r="A569" s="92"/>
      <c r="B569" s="92"/>
      <c r="C569" s="94"/>
      <c r="D569" s="92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</row>
    <row r="570">
      <c r="A570" s="92"/>
      <c r="B570" s="92"/>
      <c r="C570" s="94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</row>
    <row r="571">
      <c r="A571" s="92"/>
      <c r="B571" s="92"/>
      <c r="C571" s="94"/>
      <c r="D571" s="92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</row>
    <row r="572">
      <c r="A572" s="92"/>
      <c r="B572" s="92"/>
      <c r="C572" s="94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</row>
    <row r="573">
      <c r="A573" s="92"/>
      <c r="B573" s="92"/>
      <c r="C573" s="94"/>
      <c r="D573" s="92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</row>
    <row r="574">
      <c r="A574" s="92"/>
      <c r="B574" s="92"/>
      <c r="C574" s="94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</row>
    <row r="575">
      <c r="A575" s="92"/>
      <c r="B575" s="92"/>
      <c r="C575" s="94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</row>
    <row r="576">
      <c r="A576" s="92"/>
      <c r="B576" s="92"/>
      <c r="C576" s="94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</row>
    <row r="577">
      <c r="A577" s="92"/>
      <c r="B577" s="92"/>
      <c r="C577" s="94"/>
      <c r="D577" s="92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</row>
    <row r="578">
      <c r="A578" s="92"/>
      <c r="B578" s="92"/>
      <c r="C578" s="94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</row>
    <row r="579">
      <c r="A579" s="92"/>
      <c r="B579" s="92"/>
      <c r="C579" s="94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</row>
    <row r="580">
      <c r="A580" s="92"/>
      <c r="B580" s="92"/>
      <c r="C580" s="94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</row>
    <row r="581">
      <c r="A581" s="92"/>
      <c r="B581" s="92"/>
      <c r="C581" s="94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</row>
    <row r="582">
      <c r="A582" s="92"/>
      <c r="B582" s="92"/>
      <c r="C582" s="94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</row>
    <row r="583">
      <c r="A583" s="92"/>
      <c r="B583" s="92"/>
      <c r="C583" s="94"/>
      <c r="D583" s="92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</row>
    <row r="584">
      <c r="A584" s="92"/>
      <c r="B584" s="92"/>
      <c r="C584" s="94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</row>
    <row r="585">
      <c r="A585" s="92"/>
      <c r="B585" s="92"/>
      <c r="C585" s="94"/>
      <c r="D585" s="92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</row>
    <row r="586">
      <c r="A586" s="92"/>
      <c r="B586" s="92"/>
      <c r="C586" s="94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</row>
    <row r="587">
      <c r="A587" s="92"/>
      <c r="B587" s="92"/>
      <c r="C587" s="94"/>
      <c r="D587" s="92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</row>
    <row r="588">
      <c r="A588" s="92"/>
      <c r="B588" s="92"/>
      <c r="C588" s="94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</row>
    <row r="589">
      <c r="A589" s="92"/>
      <c r="B589" s="92"/>
      <c r="C589" s="94"/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</row>
    <row r="590">
      <c r="A590" s="92"/>
      <c r="B590" s="92"/>
      <c r="C590" s="94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</row>
    <row r="591">
      <c r="A591" s="92"/>
      <c r="B591" s="92"/>
      <c r="C591" s="94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</row>
    <row r="592">
      <c r="A592" s="92"/>
      <c r="B592" s="92"/>
      <c r="C592" s="94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</row>
    <row r="593">
      <c r="A593" s="92"/>
      <c r="B593" s="92"/>
      <c r="C593" s="94"/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</row>
    <row r="594">
      <c r="A594" s="92"/>
      <c r="B594" s="92"/>
      <c r="C594" s="94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</row>
    <row r="595">
      <c r="A595" s="92"/>
      <c r="B595" s="92"/>
      <c r="C595" s="94"/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</row>
    <row r="596">
      <c r="A596" s="92"/>
      <c r="B596" s="92"/>
      <c r="C596" s="94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</row>
    <row r="597">
      <c r="A597" s="92"/>
      <c r="B597" s="92"/>
      <c r="C597" s="94"/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</row>
    <row r="598">
      <c r="A598" s="92"/>
      <c r="B598" s="92"/>
      <c r="C598" s="94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</row>
    <row r="599">
      <c r="A599" s="92"/>
      <c r="B599" s="92"/>
      <c r="C599" s="94"/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</row>
    <row r="600">
      <c r="A600" s="92"/>
      <c r="B600" s="92"/>
      <c r="C600" s="94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</row>
    <row r="601">
      <c r="A601" s="92"/>
      <c r="B601" s="92"/>
      <c r="C601" s="94"/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</row>
    <row r="602">
      <c r="A602" s="92"/>
      <c r="B602" s="92"/>
      <c r="C602" s="94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</row>
    <row r="603">
      <c r="A603" s="92"/>
      <c r="B603" s="92"/>
      <c r="C603" s="94"/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</row>
    <row r="604">
      <c r="A604" s="92"/>
      <c r="B604" s="92"/>
      <c r="C604" s="94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</row>
    <row r="605">
      <c r="A605" s="92"/>
      <c r="B605" s="92"/>
      <c r="C605" s="94"/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</row>
    <row r="606">
      <c r="A606" s="92"/>
      <c r="B606" s="92"/>
      <c r="C606" s="94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</row>
    <row r="607">
      <c r="A607" s="92"/>
      <c r="B607" s="92"/>
      <c r="C607" s="94"/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</row>
    <row r="608">
      <c r="A608" s="92"/>
      <c r="B608" s="92"/>
      <c r="C608" s="94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</row>
    <row r="609">
      <c r="A609" s="92"/>
      <c r="B609" s="92"/>
      <c r="C609" s="94"/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</row>
    <row r="610">
      <c r="A610" s="92"/>
      <c r="B610" s="92"/>
      <c r="C610" s="94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</row>
    <row r="611">
      <c r="A611" s="92"/>
      <c r="B611" s="92"/>
      <c r="C611" s="94"/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</row>
    <row r="612">
      <c r="A612" s="92"/>
      <c r="B612" s="92"/>
      <c r="C612" s="94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</row>
    <row r="613">
      <c r="A613" s="92"/>
      <c r="B613" s="92"/>
      <c r="C613" s="94"/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</row>
    <row r="614">
      <c r="A614" s="92"/>
      <c r="B614" s="92"/>
      <c r="C614" s="94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</row>
    <row r="615">
      <c r="A615" s="92"/>
      <c r="B615" s="92"/>
      <c r="C615" s="94"/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</row>
    <row r="616">
      <c r="A616" s="92"/>
      <c r="B616" s="92"/>
      <c r="C616" s="94"/>
      <c r="D616" s="92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</row>
    <row r="617">
      <c r="A617" s="92"/>
      <c r="B617" s="92"/>
      <c r="C617" s="94"/>
      <c r="D617" s="92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</row>
    <row r="618">
      <c r="A618" s="92"/>
      <c r="B618" s="92"/>
      <c r="C618" s="94"/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</row>
    <row r="619">
      <c r="A619" s="92"/>
      <c r="B619" s="92"/>
      <c r="C619" s="94"/>
      <c r="D619" s="92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</row>
    <row r="620">
      <c r="A620" s="92"/>
      <c r="B620" s="92"/>
      <c r="C620" s="94"/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</row>
    <row r="621">
      <c r="A621" s="92"/>
      <c r="B621" s="92"/>
      <c r="C621" s="94"/>
      <c r="D621" s="92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</row>
    <row r="622">
      <c r="A622" s="92"/>
      <c r="B622" s="92"/>
      <c r="C622" s="94"/>
      <c r="D622" s="92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</row>
    <row r="623">
      <c r="A623" s="92"/>
      <c r="B623" s="92"/>
      <c r="C623" s="94"/>
      <c r="D623" s="92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</row>
    <row r="624">
      <c r="A624" s="92"/>
      <c r="B624" s="92"/>
      <c r="C624" s="94"/>
      <c r="D624" s="92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</row>
    <row r="625">
      <c r="A625" s="92"/>
      <c r="B625" s="92"/>
      <c r="C625" s="94"/>
      <c r="D625" s="92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</row>
    <row r="626">
      <c r="A626" s="92"/>
      <c r="B626" s="92"/>
      <c r="C626" s="94"/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</row>
    <row r="627">
      <c r="A627" s="92"/>
      <c r="B627" s="92"/>
      <c r="C627" s="94"/>
      <c r="D627" s="92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</row>
    <row r="628">
      <c r="A628" s="92"/>
      <c r="B628" s="92"/>
      <c r="C628" s="94"/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</row>
    <row r="629">
      <c r="A629" s="92"/>
      <c r="B629" s="92"/>
      <c r="C629" s="94"/>
      <c r="D629" s="92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</row>
    <row r="630">
      <c r="A630" s="92"/>
      <c r="B630" s="92"/>
      <c r="C630" s="94"/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</row>
    <row r="631">
      <c r="A631" s="92"/>
      <c r="B631" s="92"/>
      <c r="C631" s="94"/>
      <c r="D631" s="92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</row>
    <row r="632">
      <c r="A632" s="92"/>
      <c r="B632" s="92"/>
      <c r="C632" s="94"/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</row>
    <row r="633">
      <c r="A633" s="92"/>
      <c r="B633" s="92"/>
      <c r="C633" s="94"/>
      <c r="D633" s="92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</row>
    <row r="634">
      <c r="A634" s="92"/>
      <c r="B634" s="92"/>
      <c r="C634" s="94"/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</row>
    <row r="635">
      <c r="A635" s="92"/>
      <c r="B635" s="92"/>
      <c r="C635" s="94"/>
      <c r="D635" s="92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</row>
    <row r="636">
      <c r="A636" s="92"/>
      <c r="B636" s="92"/>
      <c r="C636" s="94"/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</row>
    <row r="637">
      <c r="A637" s="92"/>
      <c r="B637" s="92"/>
      <c r="C637" s="94"/>
      <c r="D637" s="92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</row>
    <row r="638">
      <c r="A638" s="92"/>
      <c r="B638" s="92"/>
      <c r="C638" s="94"/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</row>
    <row r="639">
      <c r="A639" s="92"/>
      <c r="B639" s="92"/>
      <c r="C639" s="94"/>
      <c r="D639" s="92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</row>
    <row r="640">
      <c r="A640" s="92"/>
      <c r="B640" s="92"/>
      <c r="C640" s="94"/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</row>
    <row r="641">
      <c r="A641" s="92"/>
      <c r="B641" s="92"/>
      <c r="C641" s="94"/>
      <c r="D641" s="92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</row>
    <row r="642">
      <c r="A642" s="92"/>
      <c r="B642" s="92"/>
      <c r="C642" s="94"/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</row>
    <row r="643">
      <c r="A643" s="92"/>
      <c r="B643" s="92"/>
      <c r="C643" s="94"/>
      <c r="D643" s="92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</row>
    <row r="644">
      <c r="A644" s="92"/>
      <c r="B644" s="92"/>
      <c r="C644" s="94"/>
      <c r="D644" s="92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</row>
    <row r="645">
      <c r="A645" s="92"/>
      <c r="B645" s="92"/>
      <c r="C645" s="94"/>
      <c r="D645" s="92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</row>
    <row r="646">
      <c r="A646" s="92"/>
      <c r="B646" s="92"/>
      <c r="C646" s="94"/>
      <c r="D646" s="92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</row>
    <row r="647">
      <c r="A647" s="92"/>
      <c r="B647" s="92"/>
      <c r="C647" s="94"/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</row>
    <row r="648">
      <c r="A648" s="92"/>
      <c r="B648" s="92"/>
      <c r="C648" s="94"/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</row>
    <row r="649">
      <c r="A649" s="92"/>
      <c r="B649" s="92"/>
      <c r="C649" s="94"/>
      <c r="D649" s="92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</row>
    <row r="650">
      <c r="A650" s="92"/>
      <c r="B650" s="92"/>
      <c r="C650" s="94"/>
      <c r="D650" s="92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</row>
    <row r="651">
      <c r="A651" s="92"/>
      <c r="B651" s="92"/>
      <c r="C651" s="94"/>
      <c r="D651" s="92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</row>
    <row r="652">
      <c r="A652" s="92"/>
      <c r="B652" s="92"/>
      <c r="C652" s="94"/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</row>
    <row r="653">
      <c r="A653" s="92"/>
      <c r="B653" s="92"/>
      <c r="C653" s="94"/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</row>
    <row r="654">
      <c r="A654" s="92"/>
      <c r="B654" s="92"/>
      <c r="C654" s="94"/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</row>
    <row r="655">
      <c r="A655" s="92"/>
      <c r="B655" s="92"/>
      <c r="C655" s="94"/>
      <c r="D655" s="92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</row>
    <row r="656">
      <c r="A656" s="92"/>
      <c r="B656" s="92"/>
      <c r="C656" s="94"/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</row>
    <row r="657">
      <c r="A657" s="92"/>
      <c r="B657" s="92"/>
      <c r="C657" s="94"/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</row>
    <row r="658">
      <c r="A658" s="92"/>
      <c r="B658" s="92"/>
      <c r="C658" s="94"/>
      <c r="D658" s="92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</row>
    <row r="659">
      <c r="A659" s="92"/>
      <c r="B659" s="92"/>
      <c r="C659" s="94"/>
      <c r="D659" s="92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</row>
    <row r="660">
      <c r="A660" s="92"/>
      <c r="B660" s="92"/>
      <c r="C660" s="94"/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</row>
    <row r="661">
      <c r="A661" s="92"/>
      <c r="B661" s="92"/>
      <c r="C661" s="94"/>
      <c r="D661" s="92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</row>
    <row r="662">
      <c r="A662" s="92"/>
      <c r="B662" s="92"/>
      <c r="C662" s="94"/>
      <c r="D662" s="92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</row>
    <row r="663">
      <c r="A663" s="92"/>
      <c r="B663" s="92"/>
      <c r="C663" s="94"/>
      <c r="D663" s="92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</row>
    <row r="664">
      <c r="A664" s="92"/>
      <c r="B664" s="92"/>
      <c r="C664" s="94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</row>
    <row r="665">
      <c r="A665" s="92"/>
      <c r="B665" s="92"/>
      <c r="C665" s="94"/>
      <c r="D665" s="92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</row>
    <row r="666">
      <c r="A666" s="92"/>
      <c r="B666" s="92"/>
      <c r="C666" s="94"/>
      <c r="D666" s="92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</row>
    <row r="667">
      <c r="A667" s="92"/>
      <c r="B667" s="92"/>
      <c r="C667" s="94"/>
      <c r="D667" s="92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</row>
    <row r="668">
      <c r="A668" s="92"/>
      <c r="B668" s="92"/>
      <c r="C668" s="94"/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</row>
    <row r="669">
      <c r="A669" s="92"/>
      <c r="B669" s="92"/>
      <c r="C669" s="94"/>
      <c r="D669" s="92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</row>
    <row r="670">
      <c r="A670" s="92"/>
      <c r="B670" s="92"/>
      <c r="C670" s="94"/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</row>
    <row r="671">
      <c r="A671" s="92"/>
      <c r="B671" s="92"/>
      <c r="C671" s="94"/>
      <c r="D671" s="92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</row>
    <row r="672">
      <c r="A672" s="92"/>
      <c r="B672" s="92"/>
      <c r="C672" s="94"/>
      <c r="D672" s="92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</row>
    <row r="673">
      <c r="A673" s="92"/>
      <c r="B673" s="92"/>
      <c r="C673" s="94"/>
      <c r="D673" s="92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</row>
    <row r="674">
      <c r="A674" s="92"/>
      <c r="B674" s="92"/>
      <c r="C674" s="94"/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</row>
    <row r="675">
      <c r="A675" s="92"/>
      <c r="B675" s="92"/>
      <c r="C675" s="94"/>
      <c r="D675" s="92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</row>
    <row r="676">
      <c r="A676" s="92"/>
      <c r="B676" s="92"/>
      <c r="C676" s="94"/>
      <c r="D676" s="92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</row>
    <row r="677">
      <c r="A677" s="92"/>
      <c r="B677" s="92"/>
      <c r="C677" s="94"/>
      <c r="D677" s="92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</row>
    <row r="678">
      <c r="A678" s="92"/>
      <c r="B678" s="92"/>
      <c r="C678" s="94"/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</row>
    <row r="679">
      <c r="A679" s="92"/>
      <c r="B679" s="92"/>
      <c r="C679" s="94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</row>
    <row r="680">
      <c r="A680" s="92"/>
      <c r="B680" s="92"/>
      <c r="C680" s="94"/>
      <c r="D680" s="92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</row>
    <row r="681">
      <c r="A681" s="92"/>
      <c r="B681" s="92"/>
      <c r="C681" s="94"/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</row>
    <row r="682">
      <c r="A682" s="92"/>
      <c r="B682" s="92"/>
      <c r="C682" s="94"/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</row>
    <row r="683">
      <c r="A683" s="92"/>
      <c r="B683" s="92"/>
      <c r="C683" s="94"/>
      <c r="D683" s="92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</row>
    <row r="684">
      <c r="A684" s="92"/>
      <c r="B684" s="92"/>
      <c r="C684" s="94"/>
      <c r="D684" s="92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</row>
    <row r="685">
      <c r="A685" s="92"/>
      <c r="B685" s="92"/>
      <c r="C685" s="94"/>
      <c r="D685" s="92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</row>
    <row r="686">
      <c r="A686" s="92"/>
      <c r="B686" s="92"/>
      <c r="C686" s="94"/>
      <c r="D686" s="92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</row>
    <row r="687">
      <c r="A687" s="92"/>
      <c r="B687" s="92"/>
      <c r="C687" s="94"/>
      <c r="D687" s="92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</row>
    <row r="688">
      <c r="A688" s="92"/>
      <c r="B688" s="92"/>
      <c r="C688" s="94"/>
      <c r="D688" s="92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</row>
    <row r="689">
      <c r="A689" s="92"/>
      <c r="B689" s="92"/>
      <c r="C689" s="94"/>
      <c r="D689" s="92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</row>
    <row r="690">
      <c r="A690" s="92"/>
      <c r="B690" s="92"/>
      <c r="C690" s="94"/>
      <c r="D690" s="92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</row>
    <row r="691">
      <c r="A691" s="92"/>
      <c r="B691" s="92"/>
      <c r="C691" s="94"/>
      <c r="D691" s="92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</row>
    <row r="692">
      <c r="A692" s="92"/>
      <c r="B692" s="92"/>
      <c r="C692" s="94"/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</row>
    <row r="693">
      <c r="A693" s="92"/>
      <c r="B693" s="92"/>
      <c r="C693" s="94"/>
      <c r="D693" s="92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</row>
    <row r="694">
      <c r="A694" s="92"/>
      <c r="B694" s="92"/>
      <c r="C694" s="94"/>
      <c r="D694" s="92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</row>
    <row r="695">
      <c r="A695" s="92"/>
      <c r="B695" s="92"/>
      <c r="C695" s="94"/>
      <c r="D695" s="92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</row>
    <row r="696">
      <c r="A696" s="92"/>
      <c r="B696" s="92"/>
      <c r="C696" s="94"/>
      <c r="D696" s="92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</row>
    <row r="697">
      <c r="A697" s="92"/>
      <c r="B697" s="92"/>
      <c r="C697" s="94"/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</row>
    <row r="698">
      <c r="A698" s="92"/>
      <c r="B698" s="92"/>
      <c r="C698" s="94"/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</row>
    <row r="699">
      <c r="A699" s="92"/>
      <c r="B699" s="92"/>
      <c r="C699" s="94"/>
      <c r="D699" s="92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</row>
    <row r="700">
      <c r="A700" s="92"/>
      <c r="B700" s="92"/>
      <c r="C700" s="94"/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</row>
    <row r="701">
      <c r="A701" s="92"/>
      <c r="B701" s="92"/>
      <c r="C701" s="94"/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</row>
    <row r="702">
      <c r="A702" s="92"/>
      <c r="B702" s="92"/>
      <c r="C702" s="94"/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</row>
    <row r="703">
      <c r="A703" s="92"/>
      <c r="B703" s="92"/>
      <c r="C703" s="94"/>
      <c r="D703" s="92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</row>
    <row r="704">
      <c r="A704" s="92"/>
      <c r="B704" s="92"/>
      <c r="C704" s="94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</row>
    <row r="705">
      <c r="A705" s="92"/>
      <c r="B705" s="92"/>
      <c r="C705" s="94"/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</row>
    <row r="706">
      <c r="A706" s="92"/>
      <c r="B706" s="92"/>
      <c r="C706" s="94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</row>
    <row r="707">
      <c r="A707" s="92"/>
      <c r="B707" s="92"/>
      <c r="C707" s="94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</row>
    <row r="708">
      <c r="A708" s="92"/>
      <c r="B708" s="92"/>
      <c r="C708" s="94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</row>
    <row r="709">
      <c r="A709" s="92"/>
      <c r="B709" s="92"/>
      <c r="C709" s="94"/>
      <c r="D709" s="92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</row>
    <row r="710">
      <c r="A710" s="92"/>
      <c r="B710" s="92"/>
      <c r="C710" s="94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</row>
    <row r="711">
      <c r="A711" s="92"/>
      <c r="B711" s="92"/>
      <c r="C711" s="94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</row>
    <row r="712">
      <c r="A712" s="92"/>
      <c r="B712" s="92"/>
      <c r="C712" s="94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</row>
    <row r="713">
      <c r="A713" s="92"/>
      <c r="B713" s="92"/>
      <c r="C713" s="94"/>
      <c r="D713" s="92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</row>
    <row r="714">
      <c r="A714" s="92"/>
      <c r="B714" s="92"/>
      <c r="C714" s="94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</row>
    <row r="715">
      <c r="A715" s="92"/>
      <c r="B715" s="92"/>
      <c r="C715" s="94"/>
      <c r="D715" s="92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</row>
    <row r="716">
      <c r="A716" s="92"/>
      <c r="B716" s="92"/>
      <c r="C716" s="94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</row>
    <row r="717">
      <c r="A717" s="92"/>
      <c r="B717" s="92"/>
      <c r="C717" s="94"/>
      <c r="D717" s="92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</row>
    <row r="718">
      <c r="A718" s="92"/>
      <c r="B718" s="92"/>
      <c r="C718" s="94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</row>
    <row r="719">
      <c r="A719" s="92"/>
      <c r="B719" s="92"/>
      <c r="C719" s="94"/>
      <c r="D719" s="92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</row>
    <row r="720">
      <c r="A720" s="92"/>
      <c r="B720" s="92"/>
      <c r="C720" s="94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</row>
    <row r="721">
      <c r="A721" s="92"/>
      <c r="B721" s="92"/>
      <c r="C721" s="94"/>
      <c r="D721" s="92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</row>
    <row r="722">
      <c r="A722" s="92"/>
      <c r="B722" s="92"/>
      <c r="C722" s="94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</row>
    <row r="723">
      <c r="A723" s="92"/>
      <c r="B723" s="92"/>
      <c r="C723" s="94"/>
      <c r="D723" s="92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</row>
    <row r="724">
      <c r="A724" s="92"/>
      <c r="B724" s="92"/>
      <c r="C724" s="94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</row>
    <row r="725">
      <c r="A725" s="92"/>
      <c r="B725" s="92"/>
      <c r="C725" s="94"/>
      <c r="D725" s="92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</row>
    <row r="726">
      <c r="A726" s="92"/>
      <c r="B726" s="92"/>
      <c r="C726" s="94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</row>
    <row r="727">
      <c r="A727" s="92"/>
      <c r="B727" s="92"/>
      <c r="C727" s="94"/>
      <c r="D727" s="92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</row>
    <row r="728">
      <c r="A728" s="92"/>
      <c r="B728" s="92"/>
      <c r="C728" s="94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</row>
    <row r="729">
      <c r="A729" s="92"/>
      <c r="B729" s="92"/>
      <c r="C729" s="94"/>
      <c r="D729" s="92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</row>
    <row r="730">
      <c r="A730" s="92"/>
      <c r="B730" s="92"/>
      <c r="C730" s="94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</row>
    <row r="731">
      <c r="A731" s="92"/>
      <c r="B731" s="92"/>
      <c r="C731" s="94"/>
      <c r="D731" s="92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</row>
    <row r="732">
      <c r="A732" s="92"/>
      <c r="B732" s="92"/>
      <c r="C732" s="94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</row>
    <row r="733">
      <c r="A733" s="92"/>
      <c r="B733" s="92"/>
      <c r="C733" s="94"/>
      <c r="D733" s="92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</row>
    <row r="734">
      <c r="A734" s="92"/>
      <c r="B734" s="92"/>
      <c r="C734" s="94"/>
      <c r="D734" s="92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</row>
    <row r="735">
      <c r="A735" s="92"/>
      <c r="B735" s="92"/>
      <c r="C735" s="94"/>
      <c r="D735" s="92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</row>
    <row r="736">
      <c r="A736" s="92"/>
      <c r="B736" s="92"/>
      <c r="C736" s="94"/>
      <c r="D736" s="92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</row>
    <row r="737">
      <c r="A737" s="92"/>
      <c r="B737" s="92"/>
      <c r="C737" s="94"/>
      <c r="D737" s="92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</row>
    <row r="738">
      <c r="A738" s="92"/>
      <c r="B738" s="92"/>
      <c r="C738" s="94"/>
      <c r="D738" s="92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</row>
    <row r="739">
      <c r="A739" s="92"/>
      <c r="B739" s="92"/>
      <c r="C739" s="94"/>
      <c r="D739" s="92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</row>
    <row r="740">
      <c r="A740" s="92"/>
      <c r="B740" s="92"/>
      <c r="C740" s="94"/>
      <c r="D740" s="92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</row>
    <row r="741">
      <c r="A741" s="92"/>
      <c r="B741" s="92"/>
      <c r="C741" s="94"/>
      <c r="D741" s="92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</row>
    <row r="742">
      <c r="A742" s="92"/>
      <c r="B742" s="92"/>
      <c r="C742" s="94"/>
      <c r="D742" s="92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</row>
    <row r="743">
      <c r="A743" s="92"/>
      <c r="B743" s="92"/>
      <c r="C743" s="94"/>
      <c r="D743" s="92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</row>
    <row r="744">
      <c r="A744" s="92"/>
      <c r="B744" s="92"/>
      <c r="C744" s="94"/>
      <c r="D744" s="92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</row>
    <row r="745">
      <c r="A745" s="92"/>
      <c r="B745" s="92"/>
      <c r="C745" s="94"/>
      <c r="D745" s="92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</row>
    <row r="746">
      <c r="A746" s="92"/>
      <c r="B746" s="92"/>
      <c r="C746" s="94"/>
      <c r="D746" s="92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</row>
    <row r="747">
      <c r="A747" s="92"/>
      <c r="B747" s="92"/>
      <c r="C747" s="94"/>
      <c r="D747" s="92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</row>
    <row r="748">
      <c r="A748" s="92"/>
      <c r="B748" s="92"/>
      <c r="C748" s="94"/>
      <c r="D748" s="92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</row>
    <row r="749">
      <c r="A749" s="92"/>
      <c r="B749" s="92"/>
      <c r="C749" s="94"/>
      <c r="D749" s="92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</row>
    <row r="750">
      <c r="A750" s="92"/>
      <c r="B750" s="92"/>
      <c r="C750" s="94"/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</row>
    <row r="751">
      <c r="A751" s="92"/>
      <c r="B751" s="92"/>
      <c r="C751" s="94"/>
      <c r="D751" s="92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</row>
    <row r="752">
      <c r="A752" s="92"/>
      <c r="B752" s="92"/>
      <c r="C752" s="94"/>
      <c r="D752" s="92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</row>
    <row r="753">
      <c r="A753" s="92"/>
      <c r="B753" s="92"/>
      <c r="C753" s="94"/>
      <c r="D753" s="92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</row>
    <row r="754">
      <c r="A754" s="92"/>
      <c r="B754" s="92"/>
      <c r="C754" s="94"/>
      <c r="D754" s="92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</row>
    <row r="755">
      <c r="A755" s="92"/>
      <c r="B755" s="92"/>
      <c r="C755" s="94"/>
      <c r="D755" s="92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</row>
    <row r="756">
      <c r="A756" s="92"/>
      <c r="B756" s="92"/>
      <c r="C756" s="94"/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</row>
    <row r="757">
      <c r="A757" s="92"/>
      <c r="B757" s="92"/>
      <c r="C757" s="94"/>
      <c r="D757" s="92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</row>
    <row r="758">
      <c r="A758" s="92"/>
      <c r="B758" s="92"/>
      <c r="C758" s="94"/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</row>
    <row r="759">
      <c r="A759" s="92"/>
      <c r="B759" s="92"/>
      <c r="C759" s="94"/>
      <c r="D759" s="92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</row>
    <row r="760">
      <c r="A760" s="92"/>
      <c r="B760" s="92"/>
      <c r="C760" s="94"/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</row>
    <row r="761">
      <c r="A761" s="92"/>
      <c r="B761" s="92"/>
      <c r="C761" s="94"/>
      <c r="D761" s="92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</row>
    <row r="762">
      <c r="A762" s="92"/>
      <c r="B762" s="92"/>
      <c r="C762" s="94"/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</row>
    <row r="763">
      <c r="A763" s="92"/>
      <c r="B763" s="92"/>
      <c r="C763" s="94"/>
      <c r="D763" s="92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</row>
    <row r="764">
      <c r="A764" s="92"/>
      <c r="B764" s="92"/>
      <c r="C764" s="94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</row>
    <row r="765">
      <c r="A765" s="92"/>
      <c r="B765" s="92"/>
      <c r="C765" s="94"/>
      <c r="D765" s="92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</row>
    <row r="766">
      <c r="A766" s="92"/>
      <c r="B766" s="92"/>
      <c r="C766" s="94"/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</row>
    <row r="767">
      <c r="A767" s="92"/>
      <c r="B767" s="92"/>
      <c r="C767" s="94"/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</row>
    <row r="768">
      <c r="A768" s="92"/>
      <c r="B768" s="92"/>
      <c r="C768" s="94"/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</row>
    <row r="769">
      <c r="A769" s="92"/>
      <c r="B769" s="92"/>
      <c r="C769" s="94"/>
      <c r="D769" s="92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</row>
    <row r="770">
      <c r="A770" s="92"/>
      <c r="B770" s="92"/>
      <c r="C770" s="94"/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</row>
    <row r="771">
      <c r="A771" s="92"/>
      <c r="B771" s="92"/>
      <c r="C771" s="94"/>
      <c r="D771" s="92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</row>
    <row r="772">
      <c r="A772" s="92"/>
      <c r="B772" s="92"/>
      <c r="C772" s="94"/>
      <c r="D772" s="92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</row>
    <row r="773">
      <c r="A773" s="92"/>
      <c r="B773" s="92"/>
      <c r="C773" s="94"/>
      <c r="D773" s="92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</row>
    <row r="774">
      <c r="A774" s="92"/>
      <c r="B774" s="92"/>
      <c r="C774" s="94"/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</row>
    <row r="775">
      <c r="A775" s="92"/>
      <c r="B775" s="92"/>
      <c r="C775" s="94"/>
      <c r="D775" s="92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</row>
    <row r="776">
      <c r="A776" s="92"/>
      <c r="B776" s="92"/>
      <c r="C776" s="94"/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</row>
    <row r="777">
      <c r="A777" s="92"/>
      <c r="B777" s="92"/>
      <c r="C777" s="94"/>
      <c r="D777" s="92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</row>
    <row r="778">
      <c r="A778" s="92"/>
      <c r="B778" s="92"/>
      <c r="C778" s="94"/>
      <c r="D778" s="92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</row>
    <row r="779">
      <c r="A779" s="92"/>
      <c r="B779" s="92"/>
      <c r="C779" s="94"/>
      <c r="D779" s="92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</row>
    <row r="780">
      <c r="A780" s="92"/>
      <c r="B780" s="92"/>
      <c r="C780" s="94"/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</row>
    <row r="781">
      <c r="A781" s="92"/>
      <c r="B781" s="92"/>
      <c r="C781" s="94"/>
      <c r="D781" s="92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</row>
    <row r="782">
      <c r="A782" s="92"/>
      <c r="B782" s="92"/>
      <c r="C782" s="94"/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</row>
    <row r="783">
      <c r="A783" s="92"/>
      <c r="B783" s="92"/>
      <c r="C783" s="94"/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</row>
    <row r="784">
      <c r="A784" s="92"/>
      <c r="B784" s="92"/>
      <c r="C784" s="94"/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</row>
    <row r="785">
      <c r="A785" s="92"/>
      <c r="B785" s="92"/>
      <c r="C785" s="94"/>
      <c r="D785" s="92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</row>
    <row r="786">
      <c r="A786" s="92"/>
      <c r="B786" s="92"/>
      <c r="C786" s="94"/>
      <c r="D786" s="92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</row>
    <row r="787">
      <c r="A787" s="92"/>
      <c r="B787" s="92"/>
      <c r="C787" s="94"/>
      <c r="D787" s="92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</row>
    <row r="788">
      <c r="A788" s="92"/>
      <c r="B788" s="92"/>
      <c r="C788" s="94"/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</row>
    <row r="789">
      <c r="A789" s="92"/>
      <c r="B789" s="92"/>
      <c r="C789" s="94"/>
      <c r="D789" s="92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</row>
    <row r="790">
      <c r="A790" s="92"/>
      <c r="B790" s="92"/>
      <c r="C790" s="94"/>
      <c r="D790" s="92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</row>
    <row r="791">
      <c r="A791" s="92"/>
      <c r="B791" s="92"/>
      <c r="C791" s="94"/>
      <c r="D791" s="92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</row>
    <row r="792">
      <c r="A792" s="92"/>
      <c r="B792" s="92"/>
      <c r="C792" s="94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</row>
    <row r="793">
      <c r="A793" s="92"/>
      <c r="B793" s="92"/>
      <c r="C793" s="94"/>
      <c r="D793" s="92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</row>
    <row r="794">
      <c r="A794" s="92"/>
      <c r="B794" s="92"/>
      <c r="C794" s="94"/>
      <c r="D794" s="92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</row>
    <row r="795">
      <c r="A795" s="92"/>
      <c r="B795" s="92"/>
      <c r="C795" s="94"/>
      <c r="D795" s="92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</row>
    <row r="796">
      <c r="A796" s="92"/>
      <c r="B796" s="92"/>
      <c r="C796" s="94"/>
      <c r="D796" s="92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</row>
    <row r="797">
      <c r="A797" s="92"/>
      <c r="B797" s="92"/>
      <c r="C797" s="94"/>
      <c r="D797" s="92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</row>
    <row r="798">
      <c r="A798" s="92"/>
      <c r="B798" s="92"/>
      <c r="C798" s="94"/>
      <c r="D798" s="92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</row>
    <row r="799">
      <c r="A799" s="92"/>
      <c r="B799" s="92"/>
      <c r="C799" s="94"/>
      <c r="D799" s="92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</row>
    <row r="800">
      <c r="A800" s="92"/>
      <c r="B800" s="92"/>
      <c r="C800" s="94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</row>
    <row r="801">
      <c r="A801" s="92"/>
      <c r="B801" s="92"/>
      <c r="C801" s="94"/>
      <c r="D801" s="92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</row>
    <row r="802">
      <c r="A802" s="92"/>
      <c r="B802" s="92"/>
      <c r="C802" s="94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</row>
    <row r="803">
      <c r="A803" s="92"/>
      <c r="B803" s="92"/>
      <c r="C803" s="94"/>
      <c r="D803" s="92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</row>
    <row r="804">
      <c r="A804" s="92"/>
      <c r="B804" s="92"/>
      <c r="C804" s="94"/>
      <c r="D804" s="92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</row>
    <row r="805">
      <c r="A805" s="92"/>
      <c r="B805" s="92"/>
      <c r="C805" s="94"/>
      <c r="D805" s="92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</row>
    <row r="806">
      <c r="A806" s="92"/>
      <c r="B806" s="92"/>
      <c r="C806" s="94"/>
      <c r="D806" s="92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</row>
    <row r="807">
      <c r="A807" s="92"/>
      <c r="B807" s="92"/>
      <c r="C807" s="94"/>
      <c r="D807" s="92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</row>
    <row r="808">
      <c r="A808" s="92"/>
      <c r="B808" s="92"/>
      <c r="C808" s="94"/>
      <c r="D808" s="92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</row>
    <row r="809">
      <c r="A809" s="92"/>
      <c r="B809" s="92"/>
      <c r="C809" s="94"/>
      <c r="D809" s="92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</row>
    <row r="810">
      <c r="A810" s="92"/>
      <c r="B810" s="92"/>
      <c r="C810" s="94"/>
      <c r="D810" s="92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</row>
    <row r="811">
      <c r="A811" s="92"/>
      <c r="B811" s="92"/>
      <c r="C811" s="94"/>
      <c r="D811" s="92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</row>
    <row r="812">
      <c r="A812" s="92"/>
      <c r="B812" s="92"/>
      <c r="C812" s="94"/>
      <c r="D812" s="92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</row>
    <row r="813">
      <c r="A813" s="92"/>
      <c r="B813" s="92"/>
      <c r="C813" s="94"/>
      <c r="D813" s="92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</row>
    <row r="814">
      <c r="A814" s="92"/>
      <c r="B814" s="92"/>
      <c r="C814" s="94"/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</row>
    <row r="815">
      <c r="A815" s="92"/>
      <c r="B815" s="92"/>
      <c r="C815" s="94"/>
      <c r="D815" s="92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</row>
    <row r="816">
      <c r="A816" s="92"/>
      <c r="B816" s="92"/>
      <c r="C816" s="94"/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</row>
    <row r="817">
      <c r="A817" s="92"/>
      <c r="B817" s="92"/>
      <c r="C817" s="94"/>
      <c r="D817" s="92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</row>
    <row r="818">
      <c r="A818" s="92"/>
      <c r="B818" s="92"/>
      <c r="C818" s="94"/>
      <c r="D818" s="92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</row>
    <row r="819">
      <c r="A819" s="92"/>
      <c r="B819" s="92"/>
      <c r="C819" s="94"/>
      <c r="D819" s="92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</row>
    <row r="820">
      <c r="A820" s="92"/>
      <c r="B820" s="92"/>
      <c r="C820" s="94"/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</row>
    <row r="821">
      <c r="A821" s="92"/>
      <c r="B821" s="92"/>
      <c r="C821" s="94"/>
      <c r="D821" s="92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</row>
    <row r="822">
      <c r="A822" s="92"/>
      <c r="B822" s="92"/>
      <c r="C822" s="94"/>
      <c r="D822" s="92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</row>
    <row r="823">
      <c r="A823" s="92"/>
      <c r="B823" s="92"/>
      <c r="C823" s="94"/>
      <c r="D823" s="92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</row>
    <row r="824">
      <c r="A824" s="92"/>
      <c r="B824" s="92"/>
      <c r="C824" s="94"/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</row>
    <row r="825">
      <c r="A825" s="92"/>
      <c r="B825" s="92"/>
      <c r="C825" s="94"/>
      <c r="D825" s="92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</row>
    <row r="826">
      <c r="A826" s="92"/>
      <c r="B826" s="92"/>
      <c r="C826" s="94"/>
      <c r="D826" s="92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</row>
    <row r="827">
      <c r="A827" s="92"/>
      <c r="B827" s="92"/>
      <c r="C827" s="94"/>
      <c r="D827" s="92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</row>
    <row r="828">
      <c r="A828" s="92"/>
      <c r="B828" s="92"/>
      <c r="C828" s="94"/>
      <c r="D828" s="92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</row>
    <row r="829">
      <c r="A829" s="92"/>
      <c r="B829" s="92"/>
      <c r="C829" s="94"/>
      <c r="D829" s="92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</row>
    <row r="830">
      <c r="A830" s="92"/>
      <c r="B830" s="92"/>
      <c r="C830" s="94"/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</row>
    <row r="831">
      <c r="A831" s="92"/>
      <c r="B831" s="92"/>
      <c r="C831" s="94"/>
      <c r="D831" s="92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</row>
    <row r="832">
      <c r="A832" s="92"/>
      <c r="B832" s="92"/>
      <c r="C832" s="94"/>
      <c r="D832" s="92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</row>
    <row r="833">
      <c r="A833" s="92"/>
      <c r="B833" s="92"/>
      <c r="C833" s="94"/>
      <c r="D833" s="92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</row>
    <row r="834">
      <c r="A834" s="92"/>
      <c r="B834" s="92"/>
      <c r="C834" s="94"/>
      <c r="D834" s="92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</row>
    <row r="835">
      <c r="A835" s="92"/>
      <c r="B835" s="92"/>
      <c r="C835" s="94"/>
      <c r="D835" s="92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</row>
    <row r="836">
      <c r="A836" s="92"/>
      <c r="B836" s="92"/>
      <c r="C836" s="94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</row>
    <row r="837">
      <c r="A837" s="92"/>
      <c r="B837" s="92"/>
      <c r="C837" s="94"/>
      <c r="D837" s="92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</row>
    <row r="838">
      <c r="A838" s="92"/>
      <c r="B838" s="92"/>
      <c r="C838" s="94"/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</row>
    <row r="839">
      <c r="A839" s="92"/>
      <c r="B839" s="92"/>
      <c r="C839" s="94"/>
      <c r="D839" s="92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</row>
    <row r="840">
      <c r="A840" s="92"/>
      <c r="B840" s="92"/>
      <c r="C840" s="94"/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</row>
    <row r="841">
      <c r="A841" s="92"/>
      <c r="B841" s="92"/>
      <c r="C841" s="94"/>
      <c r="D841" s="92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</row>
    <row r="842">
      <c r="A842" s="92"/>
      <c r="B842" s="92"/>
      <c r="C842" s="94"/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</row>
    <row r="843">
      <c r="A843" s="92"/>
      <c r="B843" s="92"/>
      <c r="C843" s="94"/>
      <c r="D843" s="92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</row>
    <row r="844">
      <c r="A844" s="92"/>
      <c r="B844" s="92"/>
      <c r="C844" s="94"/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</row>
    <row r="845">
      <c r="A845" s="92"/>
      <c r="B845" s="92"/>
      <c r="C845" s="94"/>
      <c r="D845" s="92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</row>
    <row r="846">
      <c r="A846" s="92"/>
      <c r="B846" s="92"/>
      <c r="C846" s="94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</row>
    <row r="847">
      <c r="A847" s="92"/>
      <c r="B847" s="92"/>
      <c r="C847" s="94"/>
      <c r="D847" s="92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</row>
    <row r="848">
      <c r="A848" s="92"/>
      <c r="B848" s="92"/>
      <c r="C848" s="94"/>
      <c r="D848" s="92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</row>
    <row r="849">
      <c r="A849" s="92"/>
      <c r="B849" s="92"/>
      <c r="C849" s="94"/>
      <c r="D849" s="92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</row>
    <row r="850">
      <c r="A850" s="92"/>
      <c r="B850" s="92"/>
      <c r="C850" s="94"/>
      <c r="D850" s="92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</row>
    <row r="851">
      <c r="A851" s="92"/>
      <c r="B851" s="92"/>
      <c r="C851" s="94"/>
      <c r="D851" s="92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</row>
    <row r="852">
      <c r="A852" s="92"/>
      <c r="B852" s="92"/>
      <c r="C852" s="94"/>
      <c r="D852" s="92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</row>
    <row r="853">
      <c r="A853" s="92"/>
      <c r="B853" s="92"/>
      <c r="C853" s="94"/>
      <c r="D853" s="92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</row>
    <row r="854">
      <c r="A854" s="92"/>
      <c r="B854" s="92"/>
      <c r="C854" s="94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</row>
    <row r="855">
      <c r="A855" s="92"/>
      <c r="B855" s="92"/>
      <c r="C855" s="94"/>
      <c r="D855" s="92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</row>
    <row r="856">
      <c r="A856" s="92"/>
      <c r="B856" s="92"/>
      <c r="C856" s="94"/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</row>
    <row r="857">
      <c r="A857" s="92"/>
      <c r="B857" s="92"/>
      <c r="C857" s="94"/>
      <c r="D857" s="92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</row>
    <row r="858">
      <c r="A858" s="92"/>
      <c r="B858" s="92"/>
      <c r="C858" s="94"/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</row>
    <row r="859">
      <c r="A859" s="92"/>
      <c r="B859" s="92"/>
      <c r="C859" s="94"/>
      <c r="D859" s="92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</row>
    <row r="860">
      <c r="A860" s="92"/>
      <c r="B860" s="92"/>
      <c r="C860" s="94"/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</row>
    <row r="861">
      <c r="A861" s="92"/>
      <c r="B861" s="92"/>
      <c r="C861" s="94"/>
      <c r="D861" s="92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</row>
    <row r="862">
      <c r="A862" s="92"/>
      <c r="B862" s="92"/>
      <c r="C862" s="94"/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</row>
    <row r="863">
      <c r="A863" s="92"/>
      <c r="B863" s="92"/>
      <c r="C863" s="94"/>
      <c r="D863" s="92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</row>
    <row r="864">
      <c r="A864" s="92"/>
      <c r="B864" s="92"/>
      <c r="C864" s="94"/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</row>
    <row r="865">
      <c r="A865" s="92"/>
      <c r="B865" s="92"/>
      <c r="C865" s="94"/>
      <c r="D865" s="92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</row>
    <row r="866">
      <c r="A866" s="92"/>
      <c r="B866" s="92"/>
      <c r="C866" s="94"/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</row>
    <row r="867">
      <c r="A867" s="92"/>
      <c r="B867" s="92"/>
      <c r="C867" s="94"/>
      <c r="D867" s="92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</row>
    <row r="868">
      <c r="A868" s="92"/>
      <c r="B868" s="92"/>
      <c r="C868" s="94"/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</row>
    <row r="869">
      <c r="A869" s="92"/>
      <c r="B869" s="92"/>
      <c r="C869" s="94"/>
      <c r="D869" s="92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</row>
    <row r="870">
      <c r="A870" s="92"/>
      <c r="B870" s="92"/>
      <c r="C870" s="94"/>
      <c r="D870" s="92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</row>
    <row r="871">
      <c r="A871" s="92"/>
      <c r="B871" s="92"/>
      <c r="C871" s="94"/>
      <c r="D871" s="92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</row>
    <row r="872">
      <c r="A872" s="92"/>
      <c r="B872" s="92"/>
      <c r="C872" s="94"/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</row>
    <row r="873">
      <c r="A873" s="92"/>
      <c r="B873" s="92"/>
      <c r="C873" s="94"/>
      <c r="D873" s="92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</row>
    <row r="874">
      <c r="A874" s="92"/>
      <c r="B874" s="92"/>
      <c r="C874" s="94"/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</row>
    <row r="875">
      <c r="A875" s="92"/>
      <c r="B875" s="92"/>
      <c r="C875" s="94"/>
      <c r="D875" s="92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</row>
    <row r="876">
      <c r="A876" s="92"/>
      <c r="B876" s="92"/>
      <c r="C876" s="94"/>
      <c r="D876" s="92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</row>
    <row r="877">
      <c r="A877" s="92"/>
      <c r="B877" s="92"/>
      <c r="C877" s="94"/>
      <c r="D877" s="92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</row>
    <row r="878">
      <c r="A878" s="92"/>
      <c r="B878" s="92"/>
      <c r="C878" s="94"/>
      <c r="D878" s="92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</row>
    <row r="879">
      <c r="A879" s="92"/>
      <c r="B879" s="92"/>
      <c r="C879" s="94"/>
      <c r="D879" s="92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</row>
    <row r="880">
      <c r="A880" s="92"/>
      <c r="B880" s="92"/>
      <c r="C880" s="94"/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</row>
    <row r="881">
      <c r="A881" s="92"/>
      <c r="B881" s="92"/>
      <c r="C881" s="94"/>
      <c r="D881" s="92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</row>
    <row r="882">
      <c r="A882" s="92"/>
      <c r="B882" s="92"/>
      <c r="C882" s="94"/>
      <c r="D882" s="92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</row>
    <row r="883">
      <c r="A883" s="92"/>
      <c r="B883" s="92"/>
      <c r="C883" s="94"/>
      <c r="D883" s="92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</row>
    <row r="884">
      <c r="A884" s="92"/>
      <c r="B884" s="92"/>
      <c r="C884" s="94"/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</row>
    <row r="885">
      <c r="A885" s="92"/>
      <c r="B885" s="92"/>
      <c r="C885" s="94"/>
      <c r="D885" s="92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</row>
    <row r="886">
      <c r="A886" s="92"/>
      <c r="B886" s="92"/>
      <c r="C886" s="94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</row>
    <row r="887">
      <c r="A887" s="92"/>
      <c r="B887" s="92"/>
      <c r="C887" s="94"/>
      <c r="D887" s="92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</row>
    <row r="888">
      <c r="A888" s="92"/>
      <c r="B888" s="92"/>
      <c r="C888" s="94"/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</row>
    <row r="889">
      <c r="A889" s="92"/>
      <c r="B889" s="92"/>
      <c r="C889" s="94"/>
      <c r="D889" s="92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</row>
    <row r="890">
      <c r="A890" s="92"/>
      <c r="B890" s="92"/>
      <c r="C890" s="94"/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</row>
    <row r="891">
      <c r="A891" s="92"/>
      <c r="B891" s="92"/>
      <c r="C891" s="94"/>
      <c r="D891" s="92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</row>
    <row r="892">
      <c r="A892" s="92"/>
      <c r="B892" s="92"/>
      <c r="C892" s="94"/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</row>
    <row r="893">
      <c r="A893" s="92"/>
      <c r="B893" s="92"/>
      <c r="C893" s="94"/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</row>
    <row r="894">
      <c r="A894" s="92"/>
      <c r="B894" s="92"/>
      <c r="C894" s="94"/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</row>
    <row r="895">
      <c r="A895" s="92"/>
      <c r="B895" s="92"/>
      <c r="C895" s="94"/>
      <c r="D895" s="92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</row>
    <row r="896">
      <c r="A896" s="92"/>
      <c r="B896" s="92"/>
      <c r="C896" s="94"/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</row>
    <row r="897">
      <c r="A897" s="92"/>
      <c r="B897" s="92"/>
      <c r="C897" s="94"/>
      <c r="D897" s="92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</row>
    <row r="898">
      <c r="A898" s="92"/>
      <c r="B898" s="92"/>
      <c r="C898" s="94"/>
      <c r="D898" s="92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</row>
    <row r="899">
      <c r="A899" s="92"/>
      <c r="B899" s="92"/>
      <c r="C899" s="94"/>
      <c r="D899" s="92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</row>
    <row r="900">
      <c r="A900" s="92"/>
      <c r="B900" s="92"/>
      <c r="C900" s="94"/>
      <c r="D900" s="92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</row>
    <row r="901">
      <c r="A901" s="92"/>
      <c r="B901" s="92"/>
      <c r="C901" s="94"/>
      <c r="D901" s="92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</row>
    <row r="902">
      <c r="A902" s="92"/>
      <c r="B902" s="92"/>
      <c r="C902" s="94"/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</row>
    <row r="903">
      <c r="A903" s="92"/>
      <c r="B903" s="92"/>
      <c r="C903" s="94"/>
      <c r="D903" s="92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</row>
    <row r="904">
      <c r="A904" s="92"/>
      <c r="B904" s="92"/>
      <c r="C904" s="94"/>
      <c r="D904" s="92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</row>
    <row r="905">
      <c r="A905" s="92"/>
      <c r="B905" s="92"/>
      <c r="C905" s="94"/>
      <c r="D905" s="92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</row>
    <row r="906">
      <c r="A906" s="92"/>
      <c r="B906" s="92"/>
      <c r="C906" s="94"/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</row>
    <row r="907">
      <c r="A907" s="92"/>
      <c r="B907" s="92"/>
      <c r="C907" s="94"/>
      <c r="D907" s="92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</row>
    <row r="908">
      <c r="A908" s="92"/>
      <c r="B908" s="92"/>
      <c r="C908" s="94"/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</row>
    <row r="909">
      <c r="A909" s="92"/>
      <c r="B909" s="92"/>
      <c r="C909" s="94"/>
      <c r="D909" s="92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</row>
    <row r="910">
      <c r="A910" s="92"/>
      <c r="B910" s="92"/>
      <c r="C910" s="94"/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</row>
    <row r="911">
      <c r="A911" s="92"/>
      <c r="B911" s="92"/>
      <c r="C911" s="94"/>
      <c r="D911" s="92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</row>
    <row r="912">
      <c r="A912" s="92"/>
      <c r="B912" s="92"/>
      <c r="C912" s="94"/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</row>
    <row r="913">
      <c r="A913" s="92"/>
      <c r="B913" s="92"/>
      <c r="C913" s="94"/>
      <c r="D913" s="92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</row>
    <row r="914">
      <c r="A914" s="92"/>
      <c r="B914" s="92"/>
      <c r="C914" s="94"/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</row>
    <row r="915">
      <c r="A915" s="92"/>
      <c r="B915" s="92"/>
      <c r="C915" s="94"/>
      <c r="D915" s="92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</row>
    <row r="916">
      <c r="A916" s="92"/>
      <c r="B916" s="92"/>
      <c r="C916" s="94"/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</row>
    <row r="917">
      <c r="A917" s="92"/>
      <c r="B917" s="92"/>
      <c r="C917" s="94"/>
      <c r="D917" s="92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</row>
    <row r="918">
      <c r="A918" s="92"/>
      <c r="B918" s="92"/>
      <c r="C918" s="94"/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</row>
    <row r="919">
      <c r="A919" s="92"/>
      <c r="B919" s="92"/>
      <c r="C919" s="94"/>
      <c r="D919" s="92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</row>
    <row r="920">
      <c r="A920" s="92"/>
      <c r="B920" s="92"/>
      <c r="C920" s="94"/>
      <c r="D920" s="92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</row>
    <row r="921">
      <c r="A921" s="92"/>
      <c r="B921" s="92"/>
      <c r="C921" s="94"/>
      <c r="D921" s="92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</row>
    <row r="922">
      <c r="A922" s="92"/>
      <c r="B922" s="92"/>
      <c r="C922" s="94"/>
      <c r="D922" s="92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</row>
    <row r="923">
      <c r="A923" s="92"/>
      <c r="B923" s="92"/>
      <c r="C923" s="94"/>
      <c r="D923" s="92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</row>
    <row r="924">
      <c r="A924" s="92"/>
      <c r="B924" s="92"/>
      <c r="C924" s="94"/>
      <c r="D924" s="92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</row>
    <row r="925">
      <c r="A925" s="92"/>
      <c r="B925" s="92"/>
      <c r="C925" s="94"/>
      <c r="D925" s="92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</row>
    <row r="926">
      <c r="A926" s="92"/>
      <c r="B926" s="92"/>
      <c r="C926" s="94"/>
      <c r="D926" s="92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</row>
    <row r="927">
      <c r="A927" s="92"/>
      <c r="B927" s="92"/>
      <c r="C927" s="94"/>
      <c r="D927" s="92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</row>
    <row r="928">
      <c r="A928" s="92"/>
      <c r="B928" s="92"/>
      <c r="C928" s="94"/>
      <c r="D928" s="92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</row>
    <row r="929">
      <c r="A929" s="92"/>
      <c r="B929" s="92"/>
      <c r="C929" s="94"/>
      <c r="D929" s="92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</row>
    <row r="930">
      <c r="A930" s="92"/>
      <c r="B930" s="92"/>
      <c r="C930" s="94"/>
      <c r="D930" s="92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</row>
    <row r="931">
      <c r="A931" s="92"/>
      <c r="B931" s="92"/>
      <c r="C931" s="94"/>
      <c r="D931" s="92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</row>
    <row r="932">
      <c r="A932" s="92"/>
      <c r="B932" s="92"/>
      <c r="C932" s="94"/>
      <c r="D932" s="92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</row>
    <row r="933">
      <c r="A933" s="92"/>
      <c r="B933" s="92"/>
      <c r="C933" s="94"/>
      <c r="D933" s="92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</row>
    <row r="934">
      <c r="A934" s="92"/>
      <c r="B934" s="92"/>
      <c r="C934" s="94"/>
      <c r="D934" s="92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</row>
    <row r="935">
      <c r="A935" s="92"/>
      <c r="B935" s="92"/>
      <c r="C935" s="94"/>
      <c r="D935" s="92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</row>
    <row r="936">
      <c r="A936" s="92"/>
      <c r="B936" s="92"/>
      <c r="C936" s="94"/>
      <c r="D936" s="92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</row>
    <row r="937">
      <c r="A937" s="92"/>
      <c r="B937" s="92"/>
      <c r="C937" s="94"/>
      <c r="D937" s="92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</row>
    <row r="938">
      <c r="A938" s="92"/>
      <c r="B938" s="92"/>
      <c r="C938" s="94"/>
      <c r="D938" s="92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</row>
    <row r="939">
      <c r="A939" s="92"/>
      <c r="B939" s="92"/>
      <c r="C939" s="94"/>
      <c r="D939" s="92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</row>
    <row r="940">
      <c r="A940" s="92"/>
      <c r="B940" s="92"/>
      <c r="C940" s="94"/>
      <c r="D940" s="92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</row>
    <row r="941">
      <c r="A941" s="92"/>
      <c r="B941" s="92"/>
      <c r="C941" s="94"/>
      <c r="D941" s="92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</row>
    <row r="942">
      <c r="A942" s="92"/>
      <c r="B942" s="92"/>
      <c r="C942" s="94"/>
      <c r="D942" s="92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</row>
    <row r="943">
      <c r="A943" s="92"/>
      <c r="B943" s="92"/>
      <c r="C943" s="94"/>
      <c r="D943" s="92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</row>
    <row r="944">
      <c r="A944" s="92"/>
      <c r="B944" s="92"/>
      <c r="C944" s="94"/>
      <c r="D944" s="92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</row>
    <row r="945">
      <c r="A945" s="92"/>
      <c r="B945" s="92"/>
      <c r="C945" s="94"/>
      <c r="D945" s="92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</row>
    <row r="946">
      <c r="A946" s="92"/>
      <c r="B946" s="92"/>
      <c r="C946" s="94"/>
      <c r="D946" s="92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</row>
    <row r="947">
      <c r="A947" s="92"/>
      <c r="B947" s="92"/>
      <c r="C947" s="94"/>
      <c r="D947" s="92"/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</row>
    <row r="948">
      <c r="A948" s="92"/>
      <c r="B948" s="92"/>
      <c r="C948" s="94"/>
      <c r="D948" s="92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</row>
    <row r="949">
      <c r="A949" s="92"/>
      <c r="B949" s="92"/>
      <c r="C949" s="94"/>
      <c r="D949" s="92"/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</row>
    <row r="950">
      <c r="A950" s="92"/>
      <c r="B950" s="92"/>
      <c r="C950" s="94"/>
      <c r="D950" s="92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</row>
    <row r="951">
      <c r="A951" s="92"/>
      <c r="B951" s="92"/>
      <c r="C951" s="94"/>
      <c r="D951" s="92"/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</row>
    <row r="952">
      <c r="A952" s="92"/>
      <c r="B952" s="92"/>
      <c r="C952" s="94"/>
      <c r="D952" s="92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</row>
    <row r="953">
      <c r="A953" s="92"/>
      <c r="B953" s="92"/>
      <c r="C953" s="94"/>
      <c r="D953" s="92"/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</row>
    <row r="954">
      <c r="A954" s="92"/>
      <c r="B954" s="92"/>
      <c r="C954" s="94"/>
      <c r="D954" s="92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</row>
    <row r="955">
      <c r="A955" s="92"/>
      <c r="B955" s="92"/>
      <c r="C955" s="94"/>
      <c r="D955" s="92"/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</row>
    <row r="956">
      <c r="A956" s="92"/>
      <c r="B956" s="92"/>
      <c r="C956" s="94"/>
      <c r="D956" s="92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</row>
    <row r="957">
      <c r="A957" s="92"/>
      <c r="B957" s="92"/>
      <c r="C957" s="94"/>
      <c r="D957" s="92"/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</row>
    <row r="958">
      <c r="A958" s="92"/>
      <c r="B958" s="92"/>
      <c r="C958" s="94"/>
      <c r="D958" s="92"/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</row>
    <row r="959">
      <c r="A959" s="92"/>
      <c r="B959" s="92"/>
      <c r="C959" s="94"/>
      <c r="D959" s="92"/>
      <c r="E959" s="92"/>
      <c r="F959" s="92"/>
      <c r="G959" s="92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</row>
    <row r="960">
      <c r="A960" s="92"/>
      <c r="B960" s="92"/>
      <c r="C960" s="94"/>
      <c r="D960" s="92"/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</row>
    <row r="961">
      <c r="A961" s="92"/>
      <c r="B961" s="92"/>
      <c r="C961" s="94"/>
      <c r="D961" s="92"/>
      <c r="E961" s="92"/>
      <c r="F961" s="92"/>
      <c r="G961" s="92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</row>
    <row r="962">
      <c r="A962" s="92"/>
      <c r="B962" s="92"/>
      <c r="C962" s="94"/>
      <c r="D962" s="92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</row>
    <row r="963">
      <c r="A963" s="92"/>
      <c r="B963" s="92"/>
      <c r="C963" s="94"/>
      <c r="D963" s="92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</row>
    <row r="964">
      <c r="A964" s="92"/>
      <c r="B964" s="92"/>
      <c r="C964" s="94"/>
      <c r="D964" s="92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</row>
    <row r="965">
      <c r="A965" s="92"/>
      <c r="B965" s="92"/>
      <c r="C965" s="94"/>
      <c r="D965" s="92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</row>
    <row r="966">
      <c r="A966" s="92"/>
      <c r="B966" s="92"/>
      <c r="C966" s="94"/>
      <c r="D966" s="92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</row>
    <row r="967">
      <c r="A967" s="92"/>
      <c r="B967" s="92"/>
      <c r="C967" s="94"/>
      <c r="D967" s="92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</row>
    <row r="968">
      <c r="A968" s="92"/>
      <c r="B968" s="92"/>
      <c r="C968" s="94"/>
      <c r="D968" s="92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</row>
    <row r="969">
      <c r="A969" s="92"/>
      <c r="B969" s="92"/>
      <c r="C969" s="94"/>
      <c r="D969" s="92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</row>
    <row r="970">
      <c r="A970" s="92"/>
      <c r="B970" s="92"/>
      <c r="C970" s="94"/>
      <c r="D970" s="92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</row>
    <row r="971">
      <c r="A971" s="92"/>
      <c r="B971" s="92"/>
      <c r="C971" s="94"/>
      <c r="D971" s="92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</row>
    <row r="972">
      <c r="A972" s="92"/>
      <c r="B972" s="92"/>
      <c r="C972" s="94"/>
      <c r="D972" s="92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</row>
    <row r="973">
      <c r="A973" s="92"/>
      <c r="B973" s="92"/>
      <c r="C973" s="94"/>
      <c r="D973" s="92"/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</row>
    <row r="974">
      <c r="A974" s="92"/>
      <c r="B974" s="92"/>
      <c r="C974" s="94"/>
      <c r="D974" s="92"/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</row>
    <row r="975">
      <c r="A975" s="92"/>
      <c r="B975" s="92"/>
      <c r="C975" s="94"/>
      <c r="D975" s="92"/>
      <c r="E975" s="92"/>
      <c r="F975" s="92"/>
      <c r="G975" s="92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</row>
    <row r="976">
      <c r="A976" s="92"/>
      <c r="B976" s="92"/>
      <c r="C976" s="94"/>
      <c r="D976" s="92"/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</row>
    <row r="977">
      <c r="A977" s="92"/>
      <c r="B977" s="92"/>
      <c r="C977" s="94"/>
      <c r="D977" s="92"/>
      <c r="E977" s="92"/>
      <c r="F977" s="92"/>
      <c r="G977" s="92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</row>
    <row r="978">
      <c r="A978" s="92"/>
      <c r="B978" s="92"/>
      <c r="C978" s="94"/>
      <c r="D978" s="92"/>
      <c r="E978" s="92"/>
      <c r="F978" s="92"/>
      <c r="G978" s="92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</row>
    <row r="979">
      <c r="A979" s="92"/>
      <c r="B979" s="92"/>
      <c r="C979" s="94"/>
      <c r="D979" s="92"/>
      <c r="E979" s="92"/>
      <c r="F979" s="92"/>
      <c r="G979" s="92"/>
      <c r="H979" s="92"/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</row>
    <row r="980">
      <c r="A980" s="92"/>
      <c r="B980" s="92"/>
      <c r="C980" s="94"/>
      <c r="D980" s="92"/>
      <c r="E980" s="92"/>
      <c r="F980" s="92"/>
      <c r="G980" s="92"/>
      <c r="H980" s="92"/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</row>
    <row r="981">
      <c r="A981" s="92"/>
      <c r="B981" s="92"/>
      <c r="C981" s="94"/>
      <c r="D981" s="92"/>
      <c r="E981" s="92"/>
      <c r="F981" s="92"/>
      <c r="G981" s="92"/>
      <c r="H981" s="92"/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</row>
    <row r="982">
      <c r="A982" s="92"/>
      <c r="B982" s="92"/>
      <c r="C982" s="94"/>
      <c r="D982" s="92"/>
      <c r="E982" s="92"/>
      <c r="F982" s="92"/>
      <c r="G982" s="92"/>
      <c r="H982" s="92"/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</row>
    <row r="983">
      <c r="A983" s="92"/>
      <c r="B983" s="92"/>
      <c r="C983" s="94"/>
      <c r="D983" s="92"/>
      <c r="E983" s="92"/>
      <c r="F983" s="92"/>
      <c r="G983" s="92"/>
      <c r="H983" s="92"/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</row>
    <row r="984">
      <c r="A984" s="92"/>
      <c r="B984" s="92"/>
      <c r="C984" s="94"/>
      <c r="D984" s="92"/>
      <c r="E984" s="92"/>
      <c r="F984" s="92"/>
      <c r="G984" s="92"/>
      <c r="H984" s="92"/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</row>
    <row r="985">
      <c r="A985" s="92"/>
      <c r="B985" s="92"/>
      <c r="C985" s="94"/>
      <c r="D985" s="92"/>
      <c r="E985" s="92"/>
      <c r="F985" s="92"/>
      <c r="G985" s="92"/>
      <c r="H985" s="92"/>
      <c r="I985" s="92"/>
      <c r="J985" s="92"/>
      <c r="K985" s="92"/>
      <c r="L985" s="92"/>
      <c r="M985" s="92"/>
      <c r="N985" s="92"/>
      <c r="O985" s="92"/>
      <c r="P985" s="92"/>
      <c r="Q985" s="92"/>
      <c r="R985" s="92"/>
      <c r="S985" s="92"/>
    </row>
    <row r="986">
      <c r="A986" s="92"/>
      <c r="B986" s="92"/>
      <c r="C986" s="94"/>
      <c r="D986" s="92"/>
      <c r="E986" s="92"/>
      <c r="F986" s="92"/>
      <c r="G986" s="92"/>
      <c r="H986" s="92"/>
      <c r="I986" s="92"/>
      <c r="J986" s="92"/>
      <c r="K986" s="92"/>
      <c r="L986" s="92"/>
      <c r="M986" s="92"/>
      <c r="N986" s="92"/>
      <c r="O986" s="92"/>
      <c r="P986" s="92"/>
      <c r="Q986" s="92"/>
      <c r="R986" s="92"/>
      <c r="S986" s="92"/>
    </row>
    <row r="987">
      <c r="A987" s="92"/>
      <c r="B987" s="92"/>
      <c r="C987" s="94"/>
      <c r="D987" s="92"/>
      <c r="E987" s="92"/>
      <c r="F987" s="92"/>
      <c r="G987" s="92"/>
      <c r="H987" s="92"/>
      <c r="I987" s="92"/>
      <c r="J987" s="92"/>
      <c r="K987" s="92"/>
      <c r="L987" s="92"/>
      <c r="M987" s="92"/>
      <c r="N987" s="92"/>
      <c r="O987" s="92"/>
      <c r="P987" s="92"/>
      <c r="Q987" s="92"/>
      <c r="R987" s="92"/>
      <c r="S987" s="92"/>
    </row>
    <row r="988">
      <c r="A988" s="92"/>
      <c r="B988" s="92"/>
      <c r="C988" s="94"/>
      <c r="D988" s="92"/>
      <c r="E988" s="92"/>
      <c r="F988" s="92"/>
      <c r="G988" s="92"/>
      <c r="H988" s="92"/>
      <c r="I988" s="92"/>
      <c r="J988" s="92"/>
      <c r="K988" s="92"/>
      <c r="L988" s="92"/>
      <c r="M988" s="92"/>
      <c r="N988" s="92"/>
      <c r="O988" s="92"/>
      <c r="P988" s="92"/>
      <c r="Q988" s="92"/>
      <c r="R988" s="92"/>
      <c r="S988" s="92"/>
    </row>
    <row r="989">
      <c r="A989" s="92"/>
      <c r="B989" s="92"/>
      <c r="C989" s="94"/>
      <c r="D989" s="92"/>
      <c r="E989" s="92"/>
      <c r="F989" s="92"/>
      <c r="G989" s="92"/>
      <c r="H989" s="92"/>
      <c r="I989" s="92"/>
      <c r="J989" s="92"/>
      <c r="K989" s="92"/>
      <c r="L989" s="92"/>
      <c r="M989" s="92"/>
      <c r="N989" s="92"/>
      <c r="O989" s="92"/>
      <c r="P989" s="92"/>
      <c r="Q989" s="92"/>
      <c r="R989" s="92"/>
      <c r="S989" s="92"/>
    </row>
    <row r="990">
      <c r="A990" s="92"/>
      <c r="B990" s="92"/>
      <c r="C990" s="94"/>
      <c r="D990" s="92"/>
      <c r="E990" s="92"/>
      <c r="F990" s="92"/>
      <c r="G990" s="92"/>
      <c r="H990" s="92"/>
      <c r="I990" s="92"/>
      <c r="J990" s="92"/>
      <c r="K990" s="92"/>
      <c r="L990" s="92"/>
      <c r="M990" s="92"/>
      <c r="N990" s="92"/>
      <c r="O990" s="92"/>
      <c r="P990" s="92"/>
      <c r="Q990" s="92"/>
      <c r="R990" s="92"/>
      <c r="S990" s="92"/>
    </row>
    <row r="991">
      <c r="A991" s="92"/>
      <c r="B991" s="92"/>
      <c r="C991" s="94"/>
      <c r="D991" s="92"/>
      <c r="E991" s="92"/>
      <c r="F991" s="92"/>
      <c r="G991" s="92"/>
      <c r="H991" s="92"/>
      <c r="I991" s="92"/>
      <c r="J991" s="92"/>
      <c r="K991" s="92"/>
      <c r="L991" s="92"/>
      <c r="M991" s="92"/>
      <c r="N991" s="92"/>
      <c r="O991" s="92"/>
      <c r="P991" s="92"/>
      <c r="Q991" s="92"/>
      <c r="R991" s="92"/>
      <c r="S991" s="92"/>
    </row>
    <row r="992">
      <c r="A992" s="92"/>
      <c r="B992" s="92"/>
      <c r="C992" s="94"/>
      <c r="D992" s="92"/>
      <c r="E992" s="92"/>
      <c r="F992" s="92"/>
      <c r="G992" s="92"/>
      <c r="H992" s="92"/>
      <c r="I992" s="92"/>
      <c r="J992" s="92"/>
      <c r="K992" s="92"/>
      <c r="L992" s="92"/>
      <c r="M992" s="92"/>
      <c r="N992" s="92"/>
      <c r="O992" s="92"/>
      <c r="P992" s="92"/>
      <c r="Q992" s="92"/>
      <c r="R992" s="92"/>
      <c r="S992" s="92"/>
    </row>
    <row r="993">
      <c r="A993" s="92"/>
      <c r="B993" s="92"/>
      <c r="C993" s="94"/>
      <c r="D993" s="92"/>
      <c r="E993" s="92"/>
      <c r="F993" s="92"/>
      <c r="G993" s="92"/>
      <c r="H993" s="92"/>
      <c r="I993" s="92"/>
      <c r="J993" s="92"/>
      <c r="K993" s="92"/>
      <c r="L993" s="92"/>
      <c r="M993" s="92"/>
      <c r="N993" s="92"/>
      <c r="O993" s="92"/>
      <c r="P993" s="92"/>
      <c r="Q993" s="92"/>
      <c r="R993" s="92"/>
      <c r="S993" s="92"/>
    </row>
    <row r="994">
      <c r="A994" s="92"/>
      <c r="B994" s="92"/>
      <c r="C994" s="94"/>
      <c r="D994" s="92"/>
      <c r="E994" s="92"/>
      <c r="F994" s="92"/>
      <c r="G994" s="92"/>
      <c r="H994" s="92"/>
      <c r="I994" s="92"/>
      <c r="J994" s="92"/>
      <c r="K994" s="92"/>
      <c r="L994" s="92"/>
      <c r="M994" s="92"/>
      <c r="N994" s="92"/>
      <c r="O994" s="92"/>
      <c r="P994" s="92"/>
      <c r="Q994" s="92"/>
      <c r="R994" s="92"/>
      <c r="S994" s="92"/>
    </row>
    <row r="995">
      <c r="A995" s="92"/>
      <c r="B995" s="92"/>
      <c r="C995" s="94"/>
      <c r="D995" s="92"/>
      <c r="E995" s="92"/>
      <c r="F995" s="92"/>
      <c r="G995" s="92"/>
      <c r="H995" s="92"/>
      <c r="I995" s="92"/>
      <c r="J995" s="92"/>
      <c r="K995" s="92"/>
      <c r="L995" s="92"/>
      <c r="M995" s="92"/>
      <c r="N995" s="92"/>
      <c r="O995" s="92"/>
      <c r="P995" s="92"/>
      <c r="Q995" s="92"/>
      <c r="R995" s="92"/>
      <c r="S995" s="92"/>
    </row>
    <row r="996">
      <c r="A996" s="92"/>
      <c r="B996" s="92"/>
      <c r="C996" s="94"/>
      <c r="D996" s="92"/>
      <c r="E996" s="92"/>
      <c r="F996" s="92"/>
      <c r="G996" s="92"/>
      <c r="H996" s="92"/>
      <c r="I996" s="92"/>
      <c r="J996" s="92"/>
      <c r="K996" s="92"/>
      <c r="L996" s="92"/>
      <c r="M996" s="92"/>
      <c r="N996" s="92"/>
      <c r="O996" s="92"/>
      <c r="P996" s="92"/>
      <c r="Q996" s="92"/>
      <c r="R996" s="92"/>
      <c r="S996" s="92"/>
    </row>
    <row r="997">
      <c r="A997" s="92"/>
      <c r="B997" s="92"/>
      <c r="C997" s="94"/>
      <c r="D997" s="92"/>
      <c r="E997" s="92"/>
      <c r="F997" s="92"/>
      <c r="G997" s="92"/>
      <c r="H997" s="92"/>
      <c r="I997" s="92"/>
      <c r="J997" s="92"/>
      <c r="K997" s="92"/>
      <c r="L997" s="92"/>
      <c r="M997" s="92"/>
      <c r="N997" s="92"/>
      <c r="O997" s="92"/>
      <c r="P997" s="92"/>
      <c r="Q997" s="92"/>
      <c r="R997" s="92"/>
      <c r="S997" s="92"/>
    </row>
    <row r="998">
      <c r="A998" s="92"/>
      <c r="B998" s="92"/>
      <c r="C998" s="94"/>
      <c r="D998" s="92"/>
      <c r="E998" s="92"/>
      <c r="F998" s="92"/>
      <c r="G998" s="92"/>
      <c r="H998" s="92"/>
      <c r="I998" s="92"/>
      <c r="J998" s="92"/>
      <c r="K998" s="92"/>
      <c r="L998" s="92"/>
      <c r="M998" s="92"/>
      <c r="N998" s="92"/>
      <c r="O998" s="92"/>
      <c r="P998" s="92"/>
      <c r="Q998" s="92"/>
      <c r="R998" s="92"/>
      <c r="S998" s="92"/>
    </row>
    <row r="999">
      <c r="A999" s="92"/>
      <c r="B999" s="92"/>
      <c r="C999" s="94"/>
      <c r="D999" s="92"/>
      <c r="E999" s="92"/>
      <c r="F999" s="92"/>
      <c r="G999" s="92"/>
      <c r="H999" s="92"/>
      <c r="I999" s="92"/>
      <c r="J999" s="92"/>
      <c r="K999" s="92"/>
      <c r="L999" s="92"/>
      <c r="M999" s="92"/>
      <c r="N999" s="92"/>
      <c r="O999" s="92"/>
      <c r="P999" s="92"/>
      <c r="Q999" s="92"/>
      <c r="R999" s="92"/>
      <c r="S999" s="92"/>
    </row>
    <row r="1000">
      <c r="A1000" s="92"/>
      <c r="B1000" s="92"/>
      <c r="C1000" s="94"/>
      <c r="D1000" s="92"/>
      <c r="E1000" s="92"/>
      <c r="F1000" s="92"/>
      <c r="G1000" s="92"/>
      <c r="H1000" s="92"/>
      <c r="I1000" s="92"/>
      <c r="J1000" s="92"/>
      <c r="K1000" s="92"/>
      <c r="L1000" s="92"/>
      <c r="M1000" s="92"/>
      <c r="N1000" s="92"/>
      <c r="O1000" s="92"/>
      <c r="P1000" s="92"/>
      <c r="Q1000" s="92"/>
      <c r="R1000" s="92"/>
      <c r="S1000" s="92"/>
    </row>
    <row r="1001">
      <c r="A1001" s="92"/>
      <c r="B1001" s="92"/>
      <c r="C1001" s="94"/>
      <c r="D1001" s="92"/>
      <c r="E1001" s="92"/>
      <c r="F1001" s="92"/>
      <c r="G1001" s="92"/>
      <c r="H1001" s="92"/>
      <c r="I1001" s="92"/>
      <c r="J1001" s="92"/>
      <c r="K1001" s="92"/>
      <c r="L1001" s="92"/>
      <c r="M1001" s="92"/>
      <c r="N1001" s="92"/>
      <c r="O1001" s="92"/>
      <c r="P1001" s="92"/>
      <c r="Q1001" s="92"/>
      <c r="R1001" s="92"/>
      <c r="S1001" s="92"/>
    </row>
    <row r="1002">
      <c r="A1002" s="92"/>
      <c r="B1002" s="92"/>
      <c r="C1002" s="94"/>
      <c r="D1002" s="92"/>
      <c r="E1002" s="92"/>
      <c r="F1002" s="92"/>
      <c r="G1002" s="92"/>
      <c r="H1002" s="92"/>
      <c r="I1002" s="92"/>
      <c r="J1002" s="92"/>
      <c r="K1002" s="92"/>
      <c r="L1002" s="92"/>
      <c r="M1002" s="92"/>
      <c r="N1002" s="92"/>
      <c r="O1002" s="92"/>
      <c r="P1002" s="92"/>
      <c r="Q1002" s="92"/>
      <c r="R1002" s="92"/>
      <c r="S1002" s="92"/>
    </row>
    <row r="1003">
      <c r="A1003" s="92"/>
      <c r="B1003" s="92"/>
      <c r="C1003" s="94"/>
      <c r="D1003" s="92"/>
      <c r="E1003" s="92"/>
      <c r="F1003" s="92"/>
      <c r="G1003" s="92"/>
      <c r="H1003" s="92"/>
      <c r="I1003" s="92"/>
      <c r="J1003" s="92"/>
      <c r="K1003" s="92"/>
      <c r="L1003" s="92"/>
      <c r="M1003" s="92"/>
      <c r="N1003" s="92"/>
      <c r="O1003" s="92"/>
      <c r="P1003" s="92"/>
      <c r="Q1003" s="92"/>
      <c r="R1003" s="92"/>
      <c r="S1003" s="92"/>
    </row>
    <row r="1004">
      <c r="A1004" s="92"/>
      <c r="B1004" s="92"/>
      <c r="C1004" s="94"/>
      <c r="D1004" s="92"/>
      <c r="E1004" s="92"/>
      <c r="F1004" s="92"/>
      <c r="G1004" s="92"/>
      <c r="H1004" s="92"/>
      <c r="I1004" s="92"/>
      <c r="J1004" s="92"/>
      <c r="K1004" s="92"/>
      <c r="L1004" s="92"/>
      <c r="M1004" s="92"/>
      <c r="N1004" s="92"/>
      <c r="O1004" s="92"/>
      <c r="P1004" s="92"/>
      <c r="Q1004" s="92"/>
      <c r="R1004" s="92"/>
      <c r="S1004" s="92"/>
    </row>
    <row r="1005">
      <c r="A1005" s="92"/>
      <c r="B1005" s="92"/>
      <c r="C1005" s="94"/>
      <c r="D1005" s="92"/>
      <c r="E1005" s="92"/>
      <c r="F1005" s="92"/>
      <c r="G1005" s="92"/>
      <c r="H1005" s="92"/>
      <c r="I1005" s="92"/>
      <c r="J1005" s="92"/>
      <c r="K1005" s="92"/>
      <c r="L1005" s="92"/>
      <c r="M1005" s="92"/>
      <c r="N1005" s="92"/>
      <c r="O1005" s="92"/>
      <c r="P1005" s="92"/>
      <c r="Q1005" s="92"/>
      <c r="R1005" s="92"/>
      <c r="S1005" s="92"/>
    </row>
    <row r="1006">
      <c r="A1006" s="92"/>
      <c r="B1006" s="92"/>
      <c r="C1006" s="94"/>
      <c r="D1006" s="92"/>
      <c r="E1006" s="92"/>
      <c r="F1006" s="92"/>
      <c r="G1006" s="92"/>
      <c r="H1006" s="92"/>
      <c r="I1006" s="92"/>
      <c r="J1006" s="92"/>
      <c r="K1006" s="92"/>
      <c r="L1006" s="92"/>
      <c r="M1006" s="92"/>
      <c r="N1006" s="92"/>
      <c r="O1006" s="92"/>
      <c r="P1006" s="92"/>
      <c r="Q1006" s="92"/>
      <c r="R1006" s="92"/>
      <c r="S1006" s="92"/>
    </row>
    <row r="1007">
      <c r="A1007" s="92"/>
      <c r="B1007" s="92"/>
      <c r="C1007" s="94"/>
      <c r="D1007" s="92"/>
      <c r="E1007" s="92"/>
      <c r="F1007" s="92"/>
      <c r="G1007" s="92"/>
      <c r="H1007" s="92"/>
      <c r="I1007" s="92"/>
      <c r="J1007" s="92"/>
      <c r="K1007" s="92"/>
      <c r="L1007" s="92"/>
      <c r="M1007" s="92"/>
      <c r="N1007" s="92"/>
      <c r="O1007" s="92"/>
      <c r="P1007" s="92"/>
      <c r="Q1007" s="92"/>
      <c r="R1007" s="92"/>
      <c r="S1007" s="92"/>
    </row>
    <row r="1008">
      <c r="A1008" s="92"/>
      <c r="B1008" s="92"/>
      <c r="C1008" s="94"/>
      <c r="D1008" s="92"/>
      <c r="E1008" s="92"/>
      <c r="F1008" s="92"/>
      <c r="G1008" s="92"/>
      <c r="H1008" s="92"/>
      <c r="I1008" s="92"/>
      <c r="J1008" s="92"/>
      <c r="K1008" s="92"/>
      <c r="L1008" s="92"/>
      <c r="M1008" s="92"/>
      <c r="N1008" s="92"/>
      <c r="O1008" s="92"/>
      <c r="P1008" s="92"/>
      <c r="Q1008" s="92"/>
      <c r="R1008" s="92"/>
      <c r="S1008" s="92"/>
    </row>
    <row r="1009">
      <c r="A1009" s="92"/>
      <c r="B1009" s="92"/>
      <c r="C1009" s="94"/>
      <c r="D1009" s="92"/>
      <c r="E1009" s="92"/>
      <c r="F1009" s="92"/>
      <c r="G1009" s="92"/>
      <c r="H1009" s="92"/>
      <c r="I1009" s="92"/>
      <c r="J1009" s="92"/>
      <c r="K1009" s="92"/>
      <c r="L1009" s="92"/>
      <c r="M1009" s="92"/>
      <c r="N1009" s="92"/>
      <c r="O1009" s="92"/>
      <c r="P1009" s="92"/>
      <c r="Q1009" s="92"/>
      <c r="R1009" s="92"/>
      <c r="S1009" s="92"/>
    </row>
    <row r="1010">
      <c r="A1010" s="92"/>
      <c r="B1010" s="92"/>
      <c r="C1010" s="94"/>
      <c r="D1010" s="92"/>
      <c r="E1010" s="92"/>
      <c r="F1010" s="92"/>
      <c r="G1010" s="92"/>
      <c r="H1010" s="92"/>
      <c r="I1010" s="92"/>
      <c r="J1010" s="92"/>
      <c r="K1010" s="92"/>
      <c r="L1010" s="92"/>
      <c r="M1010" s="92"/>
      <c r="N1010" s="92"/>
      <c r="O1010" s="92"/>
      <c r="P1010" s="92"/>
      <c r="Q1010" s="92"/>
      <c r="R1010" s="92"/>
      <c r="S1010" s="92"/>
    </row>
    <row r="1011">
      <c r="A1011" s="92"/>
      <c r="B1011" s="92"/>
      <c r="C1011" s="94"/>
      <c r="D1011" s="92"/>
      <c r="E1011" s="92"/>
      <c r="F1011" s="92"/>
      <c r="G1011" s="92"/>
      <c r="H1011" s="92"/>
      <c r="I1011" s="92"/>
      <c r="J1011" s="92"/>
      <c r="K1011" s="92"/>
      <c r="L1011" s="92"/>
      <c r="M1011" s="92"/>
      <c r="N1011" s="92"/>
      <c r="O1011" s="92"/>
      <c r="P1011" s="92"/>
      <c r="Q1011" s="92"/>
      <c r="R1011" s="92"/>
      <c r="S1011" s="92"/>
    </row>
    <row r="1012">
      <c r="A1012" s="92"/>
      <c r="B1012" s="92"/>
      <c r="C1012" s="94"/>
      <c r="D1012" s="92"/>
      <c r="E1012" s="92"/>
      <c r="F1012" s="92"/>
      <c r="G1012" s="92"/>
      <c r="H1012" s="92"/>
      <c r="I1012" s="92"/>
      <c r="J1012" s="92"/>
      <c r="K1012" s="92"/>
      <c r="L1012" s="92"/>
      <c r="M1012" s="92"/>
      <c r="N1012" s="92"/>
      <c r="O1012" s="92"/>
      <c r="P1012" s="92"/>
      <c r="Q1012" s="92"/>
      <c r="R1012" s="92"/>
      <c r="S1012" s="92"/>
    </row>
    <row r="1013">
      <c r="A1013" s="92"/>
      <c r="B1013" s="92"/>
      <c r="C1013" s="94"/>
      <c r="D1013" s="92"/>
      <c r="E1013" s="92"/>
      <c r="F1013" s="92"/>
      <c r="G1013" s="92"/>
      <c r="H1013" s="92"/>
      <c r="I1013" s="92"/>
      <c r="J1013" s="92"/>
      <c r="K1013" s="92"/>
      <c r="L1013" s="92"/>
      <c r="M1013" s="92"/>
      <c r="N1013" s="92"/>
      <c r="O1013" s="92"/>
      <c r="P1013" s="92"/>
      <c r="Q1013" s="92"/>
      <c r="R1013" s="92"/>
      <c r="S1013" s="92"/>
    </row>
    <row r="1014">
      <c r="A1014" s="92"/>
      <c r="B1014" s="92"/>
      <c r="C1014" s="94"/>
      <c r="D1014" s="92"/>
      <c r="E1014" s="92"/>
      <c r="F1014" s="92"/>
      <c r="G1014" s="92"/>
      <c r="H1014" s="92"/>
      <c r="I1014" s="92"/>
      <c r="J1014" s="92"/>
      <c r="K1014" s="92"/>
      <c r="L1014" s="92"/>
      <c r="M1014" s="92"/>
      <c r="N1014" s="92"/>
      <c r="O1014" s="92"/>
      <c r="P1014" s="92"/>
      <c r="Q1014" s="92"/>
      <c r="R1014" s="92"/>
      <c r="S1014" s="92"/>
    </row>
    <row r="1015">
      <c r="A1015" s="92"/>
      <c r="B1015" s="92"/>
      <c r="C1015" s="94"/>
      <c r="D1015" s="92"/>
      <c r="E1015" s="92"/>
      <c r="F1015" s="92"/>
      <c r="G1015" s="92"/>
      <c r="H1015" s="92"/>
      <c r="I1015" s="92"/>
      <c r="J1015" s="92"/>
      <c r="K1015" s="92"/>
      <c r="L1015" s="92"/>
      <c r="M1015" s="92"/>
      <c r="N1015" s="92"/>
      <c r="O1015" s="92"/>
      <c r="P1015" s="92"/>
      <c r="Q1015" s="92"/>
      <c r="R1015" s="92"/>
      <c r="S1015" s="92"/>
    </row>
    <row r="1016">
      <c r="A1016" s="92"/>
      <c r="B1016" s="92"/>
      <c r="C1016" s="94"/>
      <c r="D1016" s="92"/>
      <c r="E1016" s="92"/>
      <c r="F1016" s="92"/>
      <c r="G1016" s="92"/>
      <c r="H1016" s="92"/>
      <c r="I1016" s="92"/>
      <c r="J1016" s="92"/>
      <c r="K1016" s="92"/>
      <c r="L1016" s="92"/>
      <c r="M1016" s="92"/>
      <c r="N1016" s="92"/>
      <c r="O1016" s="92"/>
      <c r="P1016" s="92"/>
      <c r="Q1016" s="92"/>
      <c r="R1016" s="92"/>
      <c r="S1016" s="92"/>
    </row>
    <row r="1017">
      <c r="A1017" s="92"/>
      <c r="B1017" s="92"/>
      <c r="C1017" s="94"/>
      <c r="D1017" s="92"/>
      <c r="E1017" s="92"/>
      <c r="F1017" s="92"/>
      <c r="G1017" s="92"/>
      <c r="H1017" s="92"/>
      <c r="I1017" s="92"/>
      <c r="J1017" s="92"/>
      <c r="K1017" s="92"/>
      <c r="L1017" s="92"/>
      <c r="M1017" s="92"/>
      <c r="N1017" s="92"/>
      <c r="O1017" s="92"/>
      <c r="P1017" s="92"/>
      <c r="Q1017" s="92"/>
      <c r="R1017" s="92"/>
      <c r="S1017" s="92"/>
    </row>
    <row r="1018">
      <c r="A1018" s="92"/>
      <c r="B1018" s="92"/>
      <c r="C1018" s="94"/>
      <c r="D1018" s="92"/>
      <c r="E1018" s="92"/>
      <c r="F1018" s="92"/>
      <c r="G1018" s="92"/>
      <c r="H1018" s="92"/>
      <c r="I1018" s="92"/>
      <c r="J1018" s="92"/>
      <c r="K1018" s="92"/>
      <c r="L1018" s="92"/>
      <c r="M1018" s="92"/>
      <c r="N1018" s="92"/>
      <c r="O1018" s="92"/>
      <c r="P1018" s="92"/>
      <c r="Q1018" s="92"/>
      <c r="R1018" s="92"/>
      <c r="S1018" s="92"/>
    </row>
    <row r="1019">
      <c r="A1019" s="92"/>
      <c r="B1019" s="92"/>
      <c r="C1019" s="92"/>
      <c r="D1019" s="92"/>
      <c r="E1019" s="92"/>
      <c r="F1019" s="92"/>
      <c r="G1019" s="92"/>
      <c r="H1019" s="92"/>
      <c r="I1019" s="92"/>
      <c r="J1019" s="92"/>
      <c r="K1019" s="92"/>
      <c r="L1019" s="92"/>
      <c r="M1019" s="92"/>
      <c r="N1019" s="92"/>
      <c r="O1019" s="92"/>
      <c r="P1019" s="92"/>
      <c r="Q1019" s="92"/>
      <c r="R1019" s="92"/>
      <c r="S1019" s="92"/>
    </row>
    <row r="1020">
      <c r="A1020" s="92"/>
      <c r="B1020" s="92"/>
      <c r="C1020" s="92"/>
      <c r="D1020" s="92"/>
      <c r="E1020" s="92"/>
      <c r="F1020" s="92"/>
      <c r="G1020" s="92"/>
      <c r="H1020" s="92"/>
      <c r="I1020" s="92"/>
      <c r="J1020" s="92"/>
      <c r="K1020" s="92"/>
      <c r="L1020" s="92"/>
      <c r="M1020" s="92"/>
      <c r="N1020" s="92"/>
      <c r="O1020" s="92"/>
      <c r="P1020" s="92"/>
      <c r="Q1020" s="92"/>
      <c r="R1020" s="92"/>
      <c r="S1020" s="92"/>
    </row>
    <row r="1021">
      <c r="A1021" s="92"/>
      <c r="B1021" s="92"/>
      <c r="C1021" s="92"/>
      <c r="D1021" s="92"/>
      <c r="E1021" s="92"/>
      <c r="F1021" s="92"/>
      <c r="G1021" s="92"/>
      <c r="H1021" s="92"/>
      <c r="I1021" s="92"/>
      <c r="J1021" s="92"/>
      <c r="K1021" s="92"/>
      <c r="L1021" s="92"/>
      <c r="M1021" s="92"/>
      <c r="N1021" s="92"/>
      <c r="O1021" s="92"/>
      <c r="P1021" s="92"/>
      <c r="Q1021" s="92"/>
      <c r="R1021" s="92"/>
      <c r="S1021" s="92"/>
    </row>
    <row r="1022">
      <c r="A1022" s="92"/>
      <c r="B1022" s="92"/>
      <c r="C1022" s="92"/>
      <c r="D1022" s="92"/>
      <c r="E1022" s="92"/>
      <c r="F1022" s="92"/>
      <c r="G1022" s="92"/>
      <c r="H1022" s="92"/>
      <c r="I1022" s="92"/>
      <c r="J1022" s="92"/>
      <c r="K1022" s="92"/>
      <c r="L1022" s="92"/>
      <c r="M1022" s="92"/>
      <c r="N1022" s="92"/>
      <c r="O1022" s="92"/>
      <c r="P1022" s="92"/>
      <c r="Q1022" s="92"/>
      <c r="R1022" s="92"/>
      <c r="S1022" s="92"/>
    </row>
    <row r="1023">
      <c r="A1023" s="92"/>
      <c r="B1023" s="92"/>
      <c r="C1023" s="92"/>
      <c r="D1023" s="92"/>
      <c r="E1023" s="92"/>
      <c r="F1023" s="92"/>
      <c r="G1023" s="92"/>
      <c r="H1023" s="92"/>
      <c r="I1023" s="92"/>
      <c r="J1023" s="92"/>
      <c r="K1023" s="92"/>
      <c r="L1023" s="92"/>
      <c r="M1023" s="92"/>
      <c r="N1023" s="92"/>
      <c r="O1023" s="92"/>
      <c r="P1023" s="92"/>
      <c r="Q1023" s="92"/>
      <c r="R1023" s="92"/>
      <c r="S1023" s="9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0"/>
    <col customWidth="1" min="2" max="2" width="12.63"/>
    <col customWidth="1" min="3" max="3" width="11.0"/>
    <col customWidth="1" min="4" max="4" width="65.13"/>
    <col customWidth="1" min="5" max="5" width="12.63"/>
    <col customWidth="1" min="6" max="6" width="14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114" t="s">
        <v>27</v>
      </c>
      <c r="B2" s="115">
        <v>45086.0</v>
      </c>
      <c r="C2" s="114" t="s">
        <v>22</v>
      </c>
      <c r="D2" s="114" t="s">
        <v>108</v>
      </c>
      <c r="E2" s="116">
        <v>301.82</v>
      </c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</row>
    <row r="3" ht="15.75" customHeight="1">
      <c r="A3" s="20" t="s">
        <v>11</v>
      </c>
      <c r="B3" s="115">
        <v>45117.0</v>
      </c>
      <c r="C3" s="20" t="s">
        <v>15</v>
      </c>
      <c r="D3" s="20" t="s">
        <v>346</v>
      </c>
      <c r="E3" s="21">
        <v>4077.25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114" t="s">
        <v>27</v>
      </c>
      <c r="B4" s="115">
        <v>45117.0</v>
      </c>
      <c r="C4" s="114" t="s">
        <v>22</v>
      </c>
      <c r="D4" s="114" t="s">
        <v>108</v>
      </c>
      <c r="E4" s="116">
        <v>301.82</v>
      </c>
      <c r="F4" s="3"/>
      <c r="G4" s="3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</row>
    <row r="5" ht="15.75" customHeight="1">
      <c r="A5" s="114" t="s">
        <v>27</v>
      </c>
      <c r="B5" s="115">
        <v>45148.0</v>
      </c>
      <c r="C5" s="114" t="s">
        <v>22</v>
      </c>
      <c r="D5" s="114" t="s">
        <v>108</v>
      </c>
      <c r="E5" s="116">
        <v>301.82</v>
      </c>
      <c r="F5" s="3"/>
      <c r="G5" s="3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</row>
    <row r="6" ht="15.75" customHeight="1">
      <c r="A6" s="114" t="s">
        <v>27</v>
      </c>
      <c r="B6" s="115">
        <v>45169.0</v>
      </c>
      <c r="C6" s="20" t="s">
        <v>9</v>
      </c>
      <c r="D6" s="20" t="s">
        <v>347</v>
      </c>
      <c r="E6" s="21">
        <v>64.92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14" t="s">
        <v>27</v>
      </c>
      <c r="B7" s="115">
        <v>45169.0</v>
      </c>
      <c r="C7" s="20" t="s">
        <v>9</v>
      </c>
      <c r="D7" s="20" t="s">
        <v>348</v>
      </c>
      <c r="E7" s="21">
        <v>64.92</v>
      </c>
      <c r="F7" s="114"/>
      <c r="G7" s="11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14" t="s">
        <v>27</v>
      </c>
      <c r="B8" s="115">
        <v>45169.0</v>
      </c>
      <c r="C8" s="20" t="s">
        <v>9</v>
      </c>
      <c r="D8" s="20" t="s">
        <v>349</v>
      </c>
      <c r="E8" s="21">
        <v>67.06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14" t="s">
        <v>27</v>
      </c>
      <c r="B9" s="115">
        <v>45169.0</v>
      </c>
      <c r="C9" s="20" t="s">
        <v>9</v>
      </c>
      <c r="D9" s="20" t="s">
        <v>350</v>
      </c>
      <c r="E9" s="21">
        <v>94.44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14" t="s">
        <v>27</v>
      </c>
      <c r="B10" s="115">
        <v>45169.0</v>
      </c>
      <c r="C10" s="20" t="s">
        <v>9</v>
      </c>
      <c r="D10" s="20" t="s">
        <v>351</v>
      </c>
      <c r="E10" s="21">
        <v>61.21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14" t="s">
        <v>27</v>
      </c>
      <c r="B11" s="115">
        <v>45169.0</v>
      </c>
      <c r="C11" s="20" t="s">
        <v>9</v>
      </c>
      <c r="D11" s="20" t="s">
        <v>352</v>
      </c>
      <c r="E11" s="21">
        <v>85.94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14" t="s">
        <v>27</v>
      </c>
      <c r="B12" s="115">
        <v>45169.0</v>
      </c>
      <c r="C12" s="20" t="s">
        <v>9</v>
      </c>
      <c r="D12" s="20" t="s">
        <v>353</v>
      </c>
      <c r="E12" s="21">
        <v>86.02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14" t="s">
        <v>27</v>
      </c>
      <c r="B13" s="115">
        <v>45175.0</v>
      </c>
      <c r="C13" s="114" t="s">
        <v>22</v>
      </c>
      <c r="D13" s="114" t="s">
        <v>108</v>
      </c>
      <c r="E13" s="116">
        <v>301.82</v>
      </c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</row>
    <row r="14" ht="15.75" customHeight="1">
      <c r="A14" s="20" t="s">
        <v>305</v>
      </c>
      <c r="B14" s="115">
        <v>45183.0</v>
      </c>
      <c r="C14" s="114" t="s">
        <v>22</v>
      </c>
      <c r="D14" s="20" t="s">
        <v>354</v>
      </c>
      <c r="E14" s="21">
        <v>345.0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0" t="s">
        <v>278</v>
      </c>
      <c r="B15" s="115">
        <v>45199.0</v>
      </c>
      <c r="C15" s="20" t="s">
        <v>22</v>
      </c>
      <c r="D15" s="20" t="s">
        <v>355</v>
      </c>
      <c r="E15" s="21">
        <v>146.54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20" t="s">
        <v>278</v>
      </c>
      <c r="B16" s="115">
        <v>45199.0</v>
      </c>
      <c r="C16" s="20" t="s">
        <v>22</v>
      </c>
      <c r="D16" s="20" t="s">
        <v>356</v>
      </c>
      <c r="E16" s="21">
        <v>150.0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20" t="s">
        <v>278</v>
      </c>
      <c r="B17" s="115">
        <v>45204.0</v>
      </c>
      <c r="C17" s="20" t="s">
        <v>22</v>
      </c>
      <c r="D17" s="20" t="s">
        <v>357</v>
      </c>
      <c r="E17" s="21">
        <v>200.0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20" t="s">
        <v>278</v>
      </c>
      <c r="B18" s="115">
        <v>45204.0</v>
      </c>
      <c r="C18" s="20" t="s">
        <v>22</v>
      </c>
      <c r="D18" s="20" t="s">
        <v>358</v>
      </c>
      <c r="E18" s="21">
        <v>88.68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114" t="s">
        <v>27</v>
      </c>
      <c r="B19" s="115">
        <v>45209.0</v>
      </c>
      <c r="C19" s="114" t="s">
        <v>22</v>
      </c>
      <c r="D19" s="114" t="s">
        <v>108</v>
      </c>
      <c r="E19" s="116">
        <v>301.82</v>
      </c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</row>
    <row r="20" ht="15.75" customHeight="1">
      <c r="A20" s="20" t="s">
        <v>141</v>
      </c>
      <c r="B20" s="115">
        <v>45212.0</v>
      </c>
      <c r="C20" s="114" t="s">
        <v>22</v>
      </c>
      <c r="D20" s="20" t="s">
        <v>359</v>
      </c>
      <c r="E20" s="21">
        <v>100.0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14" t="s">
        <v>27</v>
      </c>
      <c r="B21" s="115">
        <v>45240.0</v>
      </c>
      <c r="C21" s="114" t="s">
        <v>22</v>
      </c>
      <c r="D21" s="114" t="s">
        <v>108</v>
      </c>
      <c r="E21" s="116">
        <v>301.82</v>
      </c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</row>
    <row r="22" ht="15.75" customHeight="1">
      <c r="A22" s="20" t="s">
        <v>305</v>
      </c>
      <c r="B22" s="115">
        <v>45258.0</v>
      </c>
      <c r="C22" s="114" t="s">
        <v>22</v>
      </c>
      <c r="D22" s="20" t="s">
        <v>354</v>
      </c>
      <c r="E22" s="21">
        <v>280.0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14" t="s">
        <v>27</v>
      </c>
      <c r="B23" s="115">
        <v>45271.0</v>
      </c>
      <c r="C23" s="114" t="s">
        <v>22</v>
      </c>
      <c r="D23" s="114" t="s">
        <v>108</v>
      </c>
      <c r="E23" s="116">
        <v>301.82</v>
      </c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</row>
    <row r="24" ht="15.75" customHeight="1">
      <c r="A24" s="114" t="s">
        <v>27</v>
      </c>
      <c r="B24" s="115">
        <v>45299.0</v>
      </c>
      <c r="C24" s="114" t="s">
        <v>22</v>
      </c>
      <c r="D24" s="114" t="s">
        <v>108</v>
      </c>
      <c r="E24" s="116">
        <v>301.82</v>
      </c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</row>
    <row r="25" ht="15.75" customHeight="1">
      <c r="A25" s="20" t="s">
        <v>305</v>
      </c>
      <c r="B25" s="115">
        <v>45302.0</v>
      </c>
      <c r="C25" s="20" t="s">
        <v>22</v>
      </c>
      <c r="D25" s="20" t="s">
        <v>354</v>
      </c>
      <c r="E25" s="21">
        <v>200.0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14" t="s">
        <v>27</v>
      </c>
      <c r="B26" s="115">
        <v>45331.0</v>
      </c>
      <c r="C26" s="114" t="s">
        <v>22</v>
      </c>
      <c r="D26" s="114" t="s">
        <v>108</v>
      </c>
      <c r="E26" s="116">
        <v>301.82</v>
      </c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</row>
    <row r="27" ht="15.75" customHeight="1">
      <c r="A27" s="114" t="s">
        <v>27</v>
      </c>
      <c r="B27" s="115">
        <v>45358.0</v>
      </c>
      <c r="C27" s="20" t="s">
        <v>15</v>
      </c>
      <c r="D27" s="20" t="s">
        <v>360</v>
      </c>
      <c r="E27" s="21">
        <v>1378.07</v>
      </c>
      <c r="F27" s="117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14" t="s">
        <v>27</v>
      </c>
      <c r="B28" s="115">
        <v>45359.0</v>
      </c>
      <c r="C28" s="114" t="s">
        <v>22</v>
      </c>
      <c r="D28" s="114" t="s">
        <v>108</v>
      </c>
      <c r="E28" s="116">
        <v>301.82</v>
      </c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</row>
    <row r="29" ht="15.75" customHeight="1">
      <c r="A29" s="20" t="s">
        <v>305</v>
      </c>
      <c r="B29" s="115">
        <v>45376.0</v>
      </c>
      <c r="C29" s="20" t="s">
        <v>15</v>
      </c>
      <c r="D29" s="20" t="s">
        <v>354</v>
      </c>
      <c r="E29" s="21">
        <v>200.0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0" t="s">
        <v>278</v>
      </c>
      <c r="B30" s="115">
        <v>45383.0</v>
      </c>
      <c r="C30" s="20" t="s">
        <v>22</v>
      </c>
      <c r="D30" s="20" t="s">
        <v>357</v>
      </c>
      <c r="E30" s="21">
        <v>200.0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14" t="s">
        <v>27</v>
      </c>
      <c r="B31" s="115">
        <v>45391.0</v>
      </c>
      <c r="C31" s="114" t="s">
        <v>22</v>
      </c>
      <c r="D31" s="114" t="s">
        <v>108</v>
      </c>
      <c r="E31" s="116">
        <v>301.82</v>
      </c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</row>
    <row r="32" ht="15.75" customHeight="1">
      <c r="A32" s="114" t="s">
        <v>27</v>
      </c>
      <c r="B32" s="115">
        <v>45421.0</v>
      </c>
      <c r="C32" s="114" t="s">
        <v>22</v>
      </c>
      <c r="D32" s="114" t="s">
        <v>108</v>
      </c>
      <c r="E32" s="116">
        <v>301.82</v>
      </c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</row>
    <row r="33" ht="15.75" customHeight="1">
      <c r="A33" s="114" t="s">
        <v>27</v>
      </c>
      <c r="B33" s="115">
        <v>45453.0</v>
      </c>
      <c r="C33" s="114" t="s">
        <v>22</v>
      </c>
      <c r="D33" s="114" t="s">
        <v>108</v>
      </c>
      <c r="E33" s="116">
        <v>301.82</v>
      </c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</row>
    <row r="34" ht="15.75" customHeight="1">
      <c r="A34" s="3"/>
      <c r="B34" s="4"/>
      <c r="C34" s="3"/>
      <c r="D34" s="3"/>
      <c r="E34" s="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4"/>
      <c r="C35" s="3"/>
      <c r="D35" s="3"/>
      <c r="E35" s="5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4"/>
      <c r="C36" s="3"/>
      <c r="D36" s="3"/>
      <c r="E36" s="5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4"/>
      <c r="C37" s="3"/>
      <c r="D37" s="3"/>
      <c r="E37" s="5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4"/>
      <c r="C38" s="3"/>
      <c r="D38" s="3"/>
      <c r="E38" s="5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4"/>
      <c r="C39" s="3"/>
      <c r="D39" s="3"/>
      <c r="E39" s="5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4"/>
      <c r="C40" s="3"/>
      <c r="D40" s="3"/>
      <c r="E40" s="5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4"/>
      <c r="C41" s="3"/>
      <c r="D41" s="3"/>
      <c r="E41" s="5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4"/>
      <c r="C42" s="3"/>
      <c r="D42" s="3"/>
      <c r="E42" s="5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4"/>
      <c r="C43" s="3"/>
      <c r="D43" s="3"/>
      <c r="E43" s="5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4"/>
      <c r="C44" s="3"/>
      <c r="D44" s="3"/>
      <c r="E44" s="5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4"/>
      <c r="C45" s="3"/>
      <c r="D45" s="3"/>
      <c r="E45" s="5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4"/>
      <c r="C46" s="3"/>
      <c r="D46" s="3"/>
      <c r="E46" s="5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4"/>
      <c r="C47" s="3"/>
      <c r="D47" s="3"/>
      <c r="E47" s="5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4"/>
      <c r="C48" s="3"/>
      <c r="D48" s="3"/>
      <c r="E48" s="5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4"/>
      <c r="C49" s="3"/>
      <c r="D49" s="3"/>
      <c r="E49" s="5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4"/>
      <c r="C50" s="3"/>
      <c r="D50" s="3"/>
      <c r="E50" s="5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4"/>
      <c r="C51" s="3"/>
      <c r="D51" s="3"/>
      <c r="E51" s="5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4"/>
      <c r="C52" s="3"/>
      <c r="D52" s="3"/>
      <c r="E52" s="5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4"/>
      <c r="C53" s="3"/>
      <c r="D53" s="3"/>
      <c r="E53" s="5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4"/>
      <c r="C54" s="3"/>
      <c r="D54" s="3"/>
      <c r="E54" s="5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4"/>
      <c r="C55" s="3"/>
      <c r="D55" s="3"/>
      <c r="E55" s="5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4"/>
      <c r="C56" s="3"/>
      <c r="D56" s="3"/>
      <c r="E56" s="5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4"/>
      <c r="C57" s="3"/>
      <c r="D57" s="3"/>
      <c r="E57" s="5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4"/>
      <c r="C58" s="3"/>
      <c r="D58" s="3"/>
      <c r="E58" s="5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4"/>
      <c r="C59" s="3"/>
      <c r="D59" s="3"/>
      <c r="E59" s="5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4"/>
      <c r="C60" s="3"/>
      <c r="D60" s="3"/>
      <c r="E60" s="5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4"/>
      <c r="C61" s="3"/>
      <c r="D61" s="3"/>
      <c r="E61" s="5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4"/>
      <c r="C62" s="3"/>
      <c r="D62" s="3"/>
      <c r="E62" s="5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4"/>
      <c r="C63" s="3"/>
      <c r="D63" s="3"/>
      <c r="E63" s="5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4"/>
      <c r="C64" s="3"/>
      <c r="D64" s="3"/>
      <c r="E64" s="5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4"/>
      <c r="C65" s="3"/>
      <c r="D65" s="3"/>
      <c r="E65" s="5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4"/>
      <c r="C66" s="3"/>
      <c r="D66" s="3"/>
      <c r="E66" s="5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4"/>
      <c r="C67" s="3"/>
      <c r="D67" s="3"/>
      <c r="E67" s="5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4"/>
      <c r="C68" s="3"/>
      <c r="D68" s="3"/>
      <c r="E68" s="5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4"/>
      <c r="C69" s="3"/>
      <c r="D69" s="3"/>
      <c r="E69" s="5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4"/>
      <c r="C70" s="3"/>
      <c r="D70" s="3"/>
      <c r="E70" s="5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4"/>
      <c r="C71" s="3"/>
      <c r="D71" s="3"/>
      <c r="E71" s="5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4"/>
      <c r="C72" s="3"/>
      <c r="D72" s="3"/>
      <c r="E72" s="5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4"/>
      <c r="C73" s="3"/>
      <c r="D73" s="3"/>
      <c r="E73" s="5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4"/>
      <c r="C74" s="3"/>
      <c r="D74" s="3"/>
      <c r="E74" s="5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4"/>
      <c r="C75" s="3"/>
      <c r="D75" s="3"/>
      <c r="E75" s="5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4"/>
      <c r="C76" s="3"/>
      <c r="D76" s="3"/>
      <c r="E76" s="5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4"/>
      <c r="C77" s="3"/>
      <c r="D77" s="3"/>
      <c r="E77" s="5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4"/>
      <c r="C78" s="3"/>
      <c r="D78" s="3"/>
      <c r="E78" s="5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4"/>
      <c r="C79" s="3"/>
      <c r="D79" s="3"/>
      <c r="E79" s="5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4"/>
      <c r="C80" s="3"/>
      <c r="D80" s="3"/>
      <c r="E80" s="5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4"/>
      <c r="C81" s="3"/>
      <c r="D81" s="3"/>
      <c r="E81" s="5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4"/>
      <c r="C82" s="3"/>
      <c r="D82" s="3"/>
      <c r="E82" s="5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4"/>
      <c r="C83" s="3"/>
      <c r="D83" s="3"/>
      <c r="E83" s="5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4"/>
      <c r="C84" s="3"/>
      <c r="D84" s="3"/>
      <c r="E84" s="5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4"/>
      <c r="C85" s="3"/>
      <c r="D85" s="3"/>
      <c r="E85" s="5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4"/>
      <c r="C86" s="3"/>
      <c r="D86" s="3"/>
      <c r="E86" s="5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4"/>
      <c r="C87" s="3"/>
      <c r="D87" s="3"/>
      <c r="E87" s="5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4"/>
      <c r="C88" s="3"/>
      <c r="D88" s="3"/>
      <c r="E88" s="5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4"/>
      <c r="C89" s="3"/>
      <c r="D89" s="3"/>
      <c r="E89" s="5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4"/>
      <c r="C90" s="3"/>
      <c r="D90" s="3"/>
      <c r="E90" s="5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4"/>
      <c r="C91" s="3"/>
      <c r="D91" s="3"/>
      <c r="E91" s="5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4"/>
      <c r="C92" s="3"/>
      <c r="D92" s="3"/>
      <c r="E92" s="5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4"/>
      <c r="C93" s="3"/>
      <c r="D93" s="3"/>
      <c r="E93" s="5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4"/>
      <c r="C94" s="3"/>
      <c r="D94" s="3"/>
      <c r="E94" s="5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4"/>
      <c r="C95" s="3"/>
      <c r="D95" s="3"/>
      <c r="E95" s="5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4"/>
      <c r="C96" s="3"/>
      <c r="D96" s="3"/>
      <c r="E96" s="5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4"/>
      <c r="C97" s="3"/>
      <c r="D97" s="3"/>
      <c r="E97" s="5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4"/>
      <c r="C98" s="3"/>
      <c r="D98" s="3"/>
      <c r="E98" s="5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4"/>
      <c r="C99" s="3"/>
      <c r="D99" s="3"/>
      <c r="E99" s="5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4"/>
      <c r="C100" s="3"/>
      <c r="D100" s="3"/>
      <c r="E100" s="5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4"/>
      <c r="C101" s="3"/>
      <c r="D101" s="3"/>
      <c r="E101" s="5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4"/>
      <c r="C102" s="3"/>
      <c r="D102" s="3"/>
      <c r="E102" s="5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4"/>
      <c r="C103" s="3"/>
      <c r="D103" s="3"/>
      <c r="E103" s="5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4"/>
      <c r="C104" s="3"/>
      <c r="D104" s="3"/>
      <c r="E104" s="5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4"/>
      <c r="C105" s="3"/>
      <c r="D105" s="3"/>
      <c r="E105" s="5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4"/>
      <c r="C106" s="3"/>
      <c r="D106" s="3"/>
      <c r="E106" s="5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4"/>
      <c r="C107" s="3"/>
      <c r="D107" s="3"/>
      <c r="E107" s="5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4"/>
      <c r="C108" s="3"/>
      <c r="D108" s="3"/>
      <c r="E108" s="5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4"/>
      <c r="C109" s="3"/>
      <c r="D109" s="3"/>
      <c r="E109" s="5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4"/>
      <c r="C110" s="3"/>
      <c r="D110" s="3"/>
      <c r="E110" s="5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4"/>
      <c r="C111" s="3"/>
      <c r="D111" s="3"/>
      <c r="E111" s="5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4"/>
      <c r="C112" s="3"/>
      <c r="D112" s="3"/>
      <c r="E112" s="5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4"/>
      <c r="C113" s="3"/>
      <c r="D113" s="3"/>
      <c r="E113" s="5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4"/>
      <c r="C114" s="3"/>
      <c r="D114" s="3"/>
      <c r="E114" s="5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4"/>
      <c r="C115" s="3"/>
      <c r="D115" s="3"/>
      <c r="E115" s="5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4"/>
      <c r="C116" s="3"/>
      <c r="D116" s="3"/>
      <c r="E116" s="5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4"/>
      <c r="C117" s="3"/>
      <c r="D117" s="3"/>
      <c r="E117" s="5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4"/>
      <c r="C118" s="3"/>
      <c r="D118" s="3"/>
      <c r="E118" s="5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4"/>
      <c r="C119" s="3"/>
      <c r="D119" s="3"/>
      <c r="E119" s="5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4"/>
      <c r="C120" s="3"/>
      <c r="D120" s="3"/>
      <c r="E120" s="5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4"/>
      <c r="C121" s="3"/>
      <c r="D121" s="3"/>
      <c r="E121" s="5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4"/>
      <c r="C122" s="3"/>
      <c r="D122" s="3"/>
      <c r="E122" s="5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4"/>
      <c r="C123" s="3"/>
      <c r="D123" s="3"/>
      <c r="E123" s="5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4"/>
      <c r="C124" s="3"/>
      <c r="D124" s="3"/>
      <c r="E124" s="5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4"/>
      <c r="C125" s="3"/>
      <c r="D125" s="3"/>
      <c r="E125" s="5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4"/>
      <c r="C126" s="3"/>
      <c r="D126" s="3"/>
      <c r="E126" s="5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4"/>
      <c r="C127" s="3"/>
      <c r="D127" s="3"/>
      <c r="E127" s="5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4"/>
      <c r="C128" s="3"/>
      <c r="D128" s="3"/>
      <c r="E128" s="5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4"/>
      <c r="C129" s="3"/>
      <c r="D129" s="3"/>
      <c r="E129" s="5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4"/>
      <c r="C130" s="3"/>
      <c r="D130" s="3"/>
      <c r="E130" s="5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4"/>
      <c r="C131" s="3"/>
      <c r="D131" s="3"/>
      <c r="E131" s="5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4"/>
      <c r="C132" s="3"/>
      <c r="D132" s="3"/>
      <c r="E132" s="5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4"/>
      <c r="C133" s="3"/>
      <c r="D133" s="3"/>
      <c r="E133" s="5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4"/>
      <c r="C134" s="3"/>
      <c r="D134" s="3"/>
      <c r="E134" s="5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4"/>
      <c r="C135" s="3"/>
      <c r="D135" s="3"/>
      <c r="E135" s="5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4"/>
      <c r="C136" s="3"/>
      <c r="D136" s="3"/>
      <c r="E136" s="5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4"/>
      <c r="C137" s="3"/>
      <c r="D137" s="3"/>
      <c r="E137" s="5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4"/>
      <c r="C138" s="3"/>
      <c r="D138" s="3"/>
      <c r="E138" s="5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4"/>
      <c r="C139" s="3"/>
      <c r="D139" s="3"/>
      <c r="E139" s="5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4"/>
      <c r="C140" s="3"/>
      <c r="D140" s="3"/>
      <c r="E140" s="5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4"/>
      <c r="C141" s="3"/>
      <c r="D141" s="3"/>
      <c r="E141" s="5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4"/>
      <c r="C142" s="3"/>
      <c r="D142" s="3"/>
      <c r="E142" s="5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4"/>
      <c r="C143" s="3"/>
      <c r="D143" s="3"/>
      <c r="E143" s="5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4"/>
      <c r="C144" s="3"/>
      <c r="D144" s="3"/>
      <c r="E144" s="5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4"/>
      <c r="C145" s="3"/>
      <c r="D145" s="3"/>
      <c r="E145" s="5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4"/>
      <c r="C146" s="3"/>
      <c r="D146" s="3"/>
      <c r="E146" s="5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4"/>
      <c r="C147" s="3"/>
      <c r="D147" s="3"/>
      <c r="E147" s="5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4"/>
      <c r="C148" s="3"/>
      <c r="D148" s="3"/>
      <c r="E148" s="5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4"/>
      <c r="C149" s="3"/>
      <c r="D149" s="3"/>
      <c r="E149" s="5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4"/>
      <c r="C150" s="3"/>
      <c r="D150" s="3"/>
      <c r="E150" s="5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4"/>
      <c r="C151" s="3"/>
      <c r="D151" s="3"/>
      <c r="E151" s="5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4"/>
      <c r="C152" s="3"/>
      <c r="D152" s="3"/>
      <c r="E152" s="5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4"/>
      <c r="C153" s="3"/>
      <c r="D153" s="3"/>
      <c r="E153" s="5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4"/>
      <c r="C154" s="3"/>
      <c r="D154" s="3"/>
      <c r="E154" s="5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4"/>
      <c r="C155" s="3"/>
      <c r="D155" s="3"/>
      <c r="E155" s="5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4"/>
      <c r="C156" s="3"/>
      <c r="D156" s="3"/>
      <c r="E156" s="5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4"/>
      <c r="C157" s="3"/>
      <c r="D157" s="3"/>
      <c r="E157" s="5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4"/>
      <c r="C158" s="3"/>
      <c r="D158" s="3"/>
      <c r="E158" s="5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4"/>
      <c r="C159" s="3"/>
      <c r="D159" s="3"/>
      <c r="E159" s="5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4"/>
      <c r="C160" s="3"/>
      <c r="D160" s="3"/>
      <c r="E160" s="5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4"/>
      <c r="C161" s="3"/>
      <c r="D161" s="3"/>
      <c r="E161" s="5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4"/>
      <c r="C162" s="3"/>
      <c r="D162" s="3"/>
      <c r="E162" s="5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4"/>
      <c r="C163" s="3"/>
      <c r="D163" s="3"/>
      <c r="E163" s="5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4"/>
      <c r="C164" s="3"/>
      <c r="D164" s="3"/>
      <c r="E164" s="5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4"/>
      <c r="C165" s="3"/>
      <c r="D165" s="3"/>
      <c r="E165" s="5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4"/>
      <c r="C166" s="3"/>
      <c r="D166" s="3"/>
      <c r="E166" s="5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4"/>
      <c r="C167" s="3"/>
      <c r="D167" s="3"/>
      <c r="E167" s="5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4"/>
      <c r="C168" s="3"/>
      <c r="D168" s="3"/>
      <c r="E168" s="5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4"/>
      <c r="C169" s="3"/>
      <c r="D169" s="3"/>
      <c r="E169" s="5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4"/>
      <c r="C170" s="3"/>
      <c r="D170" s="3"/>
      <c r="E170" s="5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4"/>
      <c r="C171" s="3"/>
      <c r="D171" s="3"/>
      <c r="E171" s="5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4"/>
      <c r="C172" s="3"/>
      <c r="D172" s="3"/>
      <c r="E172" s="5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4"/>
      <c r="C173" s="3"/>
      <c r="D173" s="3"/>
      <c r="E173" s="5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4"/>
      <c r="C174" s="3"/>
      <c r="D174" s="3"/>
      <c r="E174" s="5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4"/>
      <c r="C175" s="3"/>
      <c r="D175" s="3"/>
      <c r="E175" s="5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4"/>
      <c r="C176" s="3"/>
      <c r="D176" s="3"/>
      <c r="E176" s="5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4"/>
      <c r="C177" s="3"/>
      <c r="D177" s="3"/>
      <c r="E177" s="5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4"/>
      <c r="C178" s="3"/>
      <c r="D178" s="3"/>
      <c r="E178" s="5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2"/>
      <c r="B179" s="13"/>
      <c r="C179" s="12"/>
      <c r="D179" s="12"/>
      <c r="E179" s="14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4"/>
      <c r="C180" s="3"/>
      <c r="D180" s="3"/>
      <c r="E180" s="5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4"/>
      <c r="C181" s="3"/>
      <c r="D181" s="3"/>
      <c r="E181" s="5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4"/>
      <c r="C182" s="3"/>
      <c r="D182" s="3"/>
      <c r="E182" s="5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4"/>
      <c r="C183" s="3"/>
      <c r="D183" s="3"/>
      <c r="E183" s="5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4"/>
      <c r="C184" s="3"/>
      <c r="D184" s="3"/>
      <c r="E184" s="5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4"/>
      <c r="C185" s="3"/>
      <c r="D185" s="3"/>
      <c r="E185" s="5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4"/>
      <c r="C186" s="3"/>
      <c r="D186" s="3"/>
      <c r="E186" s="5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4"/>
      <c r="C187" s="3"/>
      <c r="D187" s="3"/>
      <c r="E187" s="5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4"/>
      <c r="C188" s="3"/>
      <c r="D188" s="3"/>
      <c r="E188" s="5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4"/>
      <c r="C189" s="3"/>
      <c r="D189" s="3"/>
      <c r="E189" s="5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4"/>
      <c r="C190" s="3"/>
      <c r="D190" s="3"/>
      <c r="E190" s="5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4"/>
      <c r="C191" s="3"/>
      <c r="D191" s="3"/>
      <c r="E191" s="5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4"/>
      <c r="C192" s="3"/>
      <c r="D192" s="3"/>
      <c r="E192" s="5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4"/>
      <c r="C193" s="3"/>
      <c r="D193" s="3"/>
      <c r="E193" s="5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4"/>
      <c r="C194" s="3"/>
      <c r="D194" s="3"/>
      <c r="E194" s="5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4"/>
      <c r="C195" s="3"/>
      <c r="D195" s="3"/>
      <c r="E195" s="5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4"/>
      <c r="C196" s="3"/>
      <c r="D196" s="3"/>
      <c r="E196" s="5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4"/>
      <c r="C197" s="3"/>
      <c r="D197" s="3"/>
      <c r="E197" s="5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4"/>
      <c r="C198" s="3"/>
      <c r="D198" s="3"/>
      <c r="E198" s="5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4"/>
      <c r="C199" s="3"/>
      <c r="D199" s="3"/>
      <c r="E199" s="5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4"/>
      <c r="C200" s="3"/>
      <c r="D200" s="3"/>
      <c r="E200" s="5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4"/>
      <c r="C201" s="3"/>
      <c r="D201" s="3"/>
      <c r="E201" s="5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4"/>
      <c r="C202" s="3"/>
      <c r="D202" s="3"/>
      <c r="E202" s="5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4"/>
      <c r="C203" s="3"/>
      <c r="D203" s="3"/>
      <c r="E203" s="5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4"/>
      <c r="C204" s="3"/>
      <c r="D204" s="3"/>
      <c r="E204" s="5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4"/>
      <c r="C205" s="3"/>
      <c r="D205" s="3"/>
      <c r="E205" s="5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4"/>
      <c r="C206" s="3"/>
      <c r="D206" s="3"/>
      <c r="E206" s="5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4"/>
      <c r="C207" s="3"/>
      <c r="D207" s="3"/>
      <c r="E207" s="5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4"/>
      <c r="C208" s="3"/>
      <c r="D208" s="3"/>
      <c r="E208" s="5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4"/>
      <c r="C209" s="3"/>
      <c r="D209" s="3"/>
      <c r="E209" s="5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4"/>
      <c r="C210" s="3"/>
      <c r="D210" s="3"/>
      <c r="E210" s="5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4"/>
      <c r="C211" s="3"/>
      <c r="D211" s="3"/>
      <c r="E211" s="5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4"/>
      <c r="C212" s="3"/>
      <c r="D212" s="3"/>
      <c r="E212" s="5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4"/>
      <c r="C213" s="3"/>
      <c r="D213" s="3"/>
      <c r="E213" s="5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4"/>
      <c r="C214" s="3"/>
      <c r="D214" s="3"/>
      <c r="E214" s="5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4"/>
      <c r="C215" s="3"/>
      <c r="D215" s="3"/>
      <c r="E215" s="5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4"/>
      <c r="C216" s="3"/>
      <c r="D216" s="3"/>
      <c r="E216" s="5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4"/>
      <c r="C217" s="3"/>
      <c r="D217" s="3"/>
      <c r="E217" s="5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4"/>
      <c r="C218" s="3"/>
      <c r="D218" s="3"/>
      <c r="E218" s="5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4"/>
      <c r="C219" s="3"/>
      <c r="D219" s="3"/>
      <c r="E219" s="5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4"/>
      <c r="C220" s="3"/>
      <c r="D220" s="3"/>
      <c r="E220" s="5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4"/>
      <c r="C221" s="3"/>
      <c r="D221" s="3"/>
      <c r="E221" s="5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4"/>
      <c r="C222" s="3"/>
      <c r="D222" s="3"/>
      <c r="E222" s="5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4"/>
      <c r="C223" s="3"/>
      <c r="D223" s="3"/>
      <c r="E223" s="5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4"/>
      <c r="C224" s="3"/>
      <c r="D224" s="3"/>
      <c r="E224" s="5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4"/>
      <c r="C225" s="3"/>
      <c r="D225" s="3"/>
      <c r="E225" s="5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4"/>
      <c r="C226" s="3"/>
      <c r="D226" s="3"/>
      <c r="E226" s="5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4"/>
      <c r="C227" s="3"/>
      <c r="D227" s="3"/>
      <c r="E227" s="5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4"/>
      <c r="C228" s="3"/>
      <c r="D228" s="3"/>
      <c r="E228" s="5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4"/>
      <c r="C229" s="3"/>
      <c r="D229" s="3"/>
      <c r="E229" s="5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4"/>
      <c r="C230" s="3"/>
      <c r="D230" s="3"/>
      <c r="E230" s="5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4"/>
      <c r="C231" s="3"/>
      <c r="D231" s="3"/>
      <c r="E231" s="5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4"/>
      <c r="C232" s="3"/>
      <c r="D232" s="3"/>
      <c r="E232" s="5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4"/>
      <c r="C233" s="3"/>
      <c r="D233" s="3"/>
      <c r="E233" s="5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4"/>
      <c r="C234" s="3"/>
      <c r="D234" s="3"/>
      <c r="E234" s="5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4"/>
      <c r="C235" s="3"/>
      <c r="D235" s="3"/>
      <c r="E235" s="5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4"/>
      <c r="C236" s="3"/>
      <c r="D236" s="3"/>
      <c r="E236" s="5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4"/>
      <c r="C237" s="3"/>
      <c r="D237" s="12"/>
      <c r="E237" s="5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4"/>
      <c r="C238" s="3"/>
      <c r="D238" s="3"/>
      <c r="E238" s="5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4"/>
      <c r="C239" s="3"/>
      <c r="D239" s="3"/>
      <c r="E239" s="5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4"/>
      <c r="C240" s="3"/>
      <c r="D240" s="3"/>
      <c r="E240" s="5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4"/>
      <c r="C241" s="3"/>
      <c r="D241" s="3"/>
      <c r="E241" s="5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4"/>
      <c r="C242" s="3"/>
      <c r="D242" s="3"/>
      <c r="E242" s="5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4"/>
      <c r="C243" s="3"/>
      <c r="D243" s="3"/>
      <c r="E243" s="5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4"/>
      <c r="C244" s="3"/>
      <c r="D244" s="3"/>
      <c r="E244" s="5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4"/>
      <c r="C245" s="3"/>
      <c r="D245" s="3"/>
      <c r="E245" s="5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4"/>
      <c r="C246" s="3"/>
      <c r="D246" s="3"/>
      <c r="E246" s="5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4"/>
      <c r="C247" s="3"/>
      <c r="D247" s="3"/>
      <c r="E247" s="5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4"/>
      <c r="C248" s="3"/>
      <c r="D248" s="3"/>
      <c r="E248" s="5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4"/>
      <c r="C249" s="3"/>
      <c r="D249" s="3"/>
      <c r="E249" s="5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4"/>
      <c r="C250" s="3"/>
      <c r="D250" s="3"/>
      <c r="E250" s="5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4"/>
      <c r="C251" s="3"/>
      <c r="D251" s="3"/>
      <c r="E251" s="5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4"/>
      <c r="C252" s="3"/>
      <c r="D252" s="3"/>
      <c r="E252" s="5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4"/>
      <c r="C253" s="3"/>
      <c r="D253" s="3"/>
      <c r="E253" s="5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4"/>
      <c r="C254" s="3"/>
      <c r="D254" s="3"/>
      <c r="E254" s="5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4"/>
      <c r="C255" s="3"/>
      <c r="D255" s="3"/>
      <c r="E255" s="5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4"/>
      <c r="C256" s="3"/>
      <c r="D256" s="3"/>
      <c r="E256" s="5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4"/>
      <c r="C257" s="3"/>
      <c r="D257" s="3"/>
      <c r="E257" s="5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4"/>
      <c r="C258" s="3"/>
      <c r="D258" s="3"/>
      <c r="E258" s="5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4"/>
      <c r="C259" s="3"/>
      <c r="D259" s="3"/>
      <c r="E259" s="5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4"/>
      <c r="C260" s="3"/>
      <c r="D260" s="3"/>
      <c r="E260" s="5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4"/>
      <c r="C261" s="3"/>
      <c r="D261" s="3"/>
      <c r="E261" s="5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4"/>
      <c r="C262" s="3"/>
      <c r="D262" s="3"/>
      <c r="E262" s="5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4"/>
      <c r="C263" s="3"/>
      <c r="D263" s="3"/>
      <c r="E263" s="5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4"/>
      <c r="C264" s="3"/>
      <c r="D264" s="3"/>
      <c r="E264" s="5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4"/>
      <c r="C265" s="3"/>
      <c r="D265" s="3"/>
      <c r="E265" s="5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4"/>
      <c r="C266" s="3"/>
      <c r="D266" s="3"/>
      <c r="E266" s="5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4"/>
      <c r="C267" s="3"/>
      <c r="D267" s="3"/>
      <c r="E267" s="5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4"/>
      <c r="C268" s="3"/>
      <c r="D268" s="3"/>
      <c r="E268" s="5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4"/>
      <c r="C269" s="3"/>
      <c r="D269" s="3"/>
      <c r="E269" s="5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4"/>
      <c r="C270" s="3"/>
      <c r="D270" s="3"/>
      <c r="E270" s="5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4"/>
      <c r="C271" s="3"/>
      <c r="D271" s="3"/>
      <c r="E271" s="5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4"/>
      <c r="C272" s="3"/>
      <c r="D272" s="3"/>
      <c r="E272" s="5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4"/>
      <c r="C273" s="3"/>
      <c r="D273" s="3"/>
      <c r="E273" s="5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4"/>
      <c r="C274" s="3"/>
      <c r="D274" s="3"/>
      <c r="E274" s="5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4"/>
      <c r="C275" s="3"/>
      <c r="D275" s="3"/>
      <c r="E275" s="5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4"/>
      <c r="C276" s="3"/>
      <c r="D276" s="3"/>
      <c r="E276" s="5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4"/>
      <c r="C277" s="3"/>
      <c r="D277" s="3"/>
      <c r="E277" s="5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4"/>
      <c r="C278" s="3"/>
      <c r="D278" s="3"/>
      <c r="E278" s="5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4"/>
      <c r="C279" s="3"/>
      <c r="D279" s="3"/>
      <c r="E279" s="5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4"/>
      <c r="C280" s="3"/>
      <c r="D280" s="3"/>
      <c r="E280" s="5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4"/>
      <c r="C281" s="3"/>
      <c r="D281" s="3"/>
      <c r="E281" s="5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4"/>
      <c r="C282" s="3"/>
      <c r="D282" s="3"/>
      <c r="E282" s="5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4"/>
      <c r="C283" s="3"/>
      <c r="D283" s="3"/>
      <c r="E283" s="5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4"/>
      <c r="C284" s="3"/>
      <c r="D284" s="3"/>
      <c r="E284" s="5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4"/>
      <c r="C285" s="3"/>
      <c r="D285" s="3"/>
      <c r="E285" s="5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4"/>
      <c r="C286" s="3"/>
      <c r="D286" s="3"/>
      <c r="E286" s="5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4"/>
      <c r="C287" s="3"/>
      <c r="D287" s="3"/>
      <c r="E287" s="5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4"/>
      <c r="C288" s="3"/>
      <c r="D288" s="3"/>
      <c r="E288" s="5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4"/>
      <c r="C289" s="3"/>
      <c r="D289" s="3"/>
      <c r="E289" s="5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4"/>
      <c r="C290" s="3"/>
      <c r="D290" s="3"/>
      <c r="E290" s="5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4"/>
      <c r="C291" s="3"/>
      <c r="D291" s="3"/>
      <c r="E291" s="5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4"/>
      <c r="C292" s="3"/>
      <c r="D292" s="3"/>
      <c r="E292" s="5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4"/>
      <c r="C293" s="3"/>
      <c r="D293" s="3"/>
      <c r="E293" s="5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4"/>
      <c r="C294" s="3"/>
      <c r="D294" s="3"/>
      <c r="E294" s="5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4"/>
      <c r="C295" s="3"/>
      <c r="D295" s="3"/>
      <c r="E295" s="5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4"/>
      <c r="C296" s="3"/>
      <c r="D296" s="3"/>
      <c r="E296" s="5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4"/>
      <c r="C297" s="3"/>
      <c r="D297" s="3"/>
      <c r="E297" s="5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4"/>
      <c r="C298" s="3"/>
      <c r="D298" s="3"/>
      <c r="E298" s="5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4"/>
      <c r="C299" s="3"/>
      <c r="D299" s="3"/>
      <c r="E299" s="5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4"/>
      <c r="C300" s="3"/>
      <c r="D300" s="3"/>
      <c r="E300" s="5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4"/>
      <c r="C301" s="3"/>
      <c r="D301" s="3"/>
      <c r="E301" s="5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4"/>
      <c r="C302" s="3"/>
      <c r="D302" s="3"/>
      <c r="E302" s="5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4"/>
      <c r="C303" s="3"/>
      <c r="D303" s="3"/>
      <c r="E303" s="5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16"/>
      <c r="B304" s="17"/>
      <c r="C304" s="16"/>
      <c r="D304" s="16"/>
      <c r="E304" s="18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16"/>
      <c r="B305" s="17"/>
      <c r="C305" s="16"/>
      <c r="D305" s="16"/>
      <c r="E305" s="18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16"/>
      <c r="B306" s="17"/>
      <c r="C306" s="16"/>
      <c r="D306" s="16"/>
      <c r="E306" s="18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16"/>
      <c r="B307" s="17"/>
      <c r="C307" s="16"/>
      <c r="D307" s="16"/>
      <c r="E307" s="18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16"/>
      <c r="B308" s="17"/>
      <c r="C308" s="16"/>
      <c r="D308" s="16"/>
      <c r="E308" s="18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16"/>
      <c r="B309" s="17"/>
      <c r="C309" s="16"/>
      <c r="D309" s="16"/>
      <c r="E309" s="18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16"/>
      <c r="B310" s="17"/>
      <c r="C310" s="16"/>
      <c r="D310" s="16"/>
      <c r="E310" s="18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16"/>
      <c r="B311" s="17"/>
      <c r="C311" s="16"/>
      <c r="D311" s="16"/>
      <c r="E311" s="18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16"/>
      <c r="B312" s="17"/>
      <c r="C312" s="16"/>
      <c r="D312" s="16"/>
      <c r="E312" s="18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4"/>
      <c r="C313" s="3"/>
      <c r="D313" s="3"/>
      <c r="E313" s="5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4"/>
      <c r="C314" s="3"/>
      <c r="D314" s="3"/>
      <c r="E314" s="5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4"/>
      <c r="C315" s="3"/>
      <c r="D315" s="3"/>
      <c r="E315" s="5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4"/>
      <c r="C316" s="3"/>
      <c r="D316" s="3"/>
      <c r="E316" s="5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4"/>
      <c r="C317" s="3"/>
      <c r="D317" s="3"/>
      <c r="E317" s="5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4"/>
      <c r="C318" s="3"/>
      <c r="D318" s="3"/>
      <c r="E318" s="5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4"/>
      <c r="C319" s="3"/>
      <c r="D319" s="3"/>
      <c r="E319" s="5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4"/>
      <c r="C320" s="3"/>
      <c r="D320" s="3"/>
      <c r="E320" s="5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4"/>
      <c r="C321" s="3"/>
      <c r="D321" s="3"/>
      <c r="E321" s="5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4"/>
      <c r="C322" s="3"/>
      <c r="D322" s="3"/>
      <c r="E322" s="5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4"/>
      <c r="C323" s="3"/>
      <c r="D323" s="3"/>
      <c r="E323" s="5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4"/>
      <c r="C324" s="3"/>
      <c r="D324" s="3"/>
      <c r="E324" s="5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4"/>
      <c r="C325" s="3"/>
      <c r="D325" s="3"/>
      <c r="E325" s="5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4"/>
      <c r="C326" s="3"/>
      <c r="D326" s="3"/>
      <c r="E326" s="5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4"/>
      <c r="C327" s="3"/>
      <c r="D327" s="3"/>
      <c r="E327" s="5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4"/>
      <c r="C328" s="3"/>
      <c r="D328" s="3"/>
      <c r="E328" s="5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4"/>
      <c r="C329" s="3"/>
      <c r="D329" s="3"/>
      <c r="E329" s="5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4"/>
      <c r="C330" s="3"/>
      <c r="D330" s="3"/>
      <c r="E330" s="5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4"/>
      <c r="C331" s="3"/>
      <c r="D331" s="3"/>
      <c r="E331" s="5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4"/>
      <c r="C332" s="3"/>
      <c r="D332" s="3"/>
      <c r="E332" s="5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4"/>
      <c r="C333" s="3"/>
      <c r="D333" s="3"/>
      <c r="E333" s="5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4"/>
      <c r="C334" s="3"/>
      <c r="D334" s="3"/>
      <c r="E334" s="5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4"/>
      <c r="C335" s="3"/>
      <c r="D335" s="3"/>
      <c r="E335" s="5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4"/>
      <c r="C336" s="3"/>
      <c r="D336" s="3"/>
      <c r="E336" s="5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4"/>
      <c r="C337" s="3"/>
      <c r="D337" s="3"/>
      <c r="E337" s="5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4"/>
      <c r="C338" s="3"/>
      <c r="D338" s="3"/>
      <c r="E338" s="5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4"/>
      <c r="C339" s="3"/>
      <c r="D339" s="3"/>
      <c r="E339" s="5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4"/>
      <c r="C340" s="3"/>
      <c r="D340" s="3"/>
      <c r="E340" s="5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4"/>
      <c r="C341" s="3"/>
      <c r="D341" s="3"/>
      <c r="E341" s="5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4"/>
      <c r="C342" s="3"/>
      <c r="D342" s="3"/>
      <c r="E342" s="5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4"/>
      <c r="C343" s="3"/>
      <c r="D343" s="3"/>
      <c r="E343" s="5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4"/>
      <c r="C344" s="3"/>
      <c r="D344" s="3"/>
      <c r="E344" s="5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4"/>
      <c r="C345" s="3"/>
      <c r="D345" s="3"/>
      <c r="E345" s="5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4"/>
      <c r="C346" s="3"/>
      <c r="D346" s="3"/>
      <c r="E346" s="5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4"/>
      <c r="C347" s="3"/>
      <c r="D347" s="3"/>
      <c r="E347" s="5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4"/>
      <c r="C348" s="3"/>
      <c r="D348" s="3"/>
      <c r="E348" s="5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4"/>
      <c r="C349" s="3"/>
      <c r="D349" s="3"/>
      <c r="E349" s="5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4"/>
      <c r="C350" s="3"/>
      <c r="D350" s="3"/>
      <c r="E350" s="5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4"/>
      <c r="C351" s="3"/>
      <c r="D351" s="3"/>
      <c r="E351" s="5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4"/>
      <c r="C352" s="3"/>
      <c r="D352" s="3"/>
      <c r="E352" s="5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4"/>
      <c r="C353" s="3"/>
      <c r="D353" s="3"/>
      <c r="E353" s="5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4"/>
      <c r="C354" s="3"/>
      <c r="D354" s="3"/>
      <c r="E354" s="5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4"/>
      <c r="C355" s="3"/>
      <c r="D355" s="3"/>
      <c r="E355" s="5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4"/>
      <c r="C356" s="3"/>
      <c r="D356" s="3"/>
      <c r="E356" s="5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4"/>
      <c r="C357" s="3"/>
      <c r="D357" s="3"/>
      <c r="E357" s="5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4"/>
      <c r="C358" s="3"/>
      <c r="D358" s="3"/>
      <c r="E358" s="5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4"/>
      <c r="C359" s="3"/>
      <c r="D359" s="3"/>
      <c r="E359" s="5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4"/>
      <c r="C360" s="3"/>
      <c r="D360" s="3"/>
      <c r="E360" s="5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4"/>
      <c r="C361" s="3"/>
      <c r="D361" s="3"/>
      <c r="E361" s="5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4"/>
      <c r="C362" s="3"/>
      <c r="D362" s="3"/>
      <c r="E362" s="5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4"/>
      <c r="C363" s="3"/>
      <c r="D363" s="3"/>
      <c r="E363" s="5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4"/>
      <c r="C364" s="3"/>
      <c r="D364" s="3"/>
      <c r="E364" s="5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4"/>
      <c r="C365" s="3"/>
      <c r="D365" s="3"/>
      <c r="E365" s="5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4"/>
      <c r="C366" s="3"/>
      <c r="D366" s="3"/>
      <c r="E366" s="5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4"/>
      <c r="C367" s="3"/>
      <c r="D367" s="3"/>
      <c r="E367" s="5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20"/>
      <c r="B368" s="19"/>
      <c r="C368" s="20"/>
      <c r="D368" s="20"/>
      <c r="E368" s="21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20"/>
      <c r="B369" s="19"/>
      <c r="C369" s="20"/>
      <c r="D369" s="20"/>
      <c r="E369" s="21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20"/>
      <c r="B370" s="19"/>
      <c r="C370" s="20"/>
      <c r="D370" s="20"/>
      <c r="E370" s="21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20"/>
      <c r="B371" s="19"/>
      <c r="C371" s="20"/>
      <c r="D371" s="20"/>
      <c r="E371" s="21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20"/>
      <c r="B372" s="19"/>
      <c r="C372" s="20"/>
      <c r="D372" s="20"/>
      <c r="E372" s="21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20"/>
      <c r="B373" s="19"/>
      <c r="C373" s="20"/>
      <c r="D373" s="20"/>
      <c r="E373" s="21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20"/>
      <c r="B374" s="19"/>
      <c r="C374" s="20"/>
      <c r="D374" s="20"/>
      <c r="E374" s="21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20"/>
      <c r="B375" s="19"/>
      <c r="C375" s="20"/>
      <c r="D375" s="20"/>
      <c r="E375" s="21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20"/>
      <c r="B376" s="19"/>
      <c r="C376" s="20"/>
      <c r="D376" s="20"/>
      <c r="E376" s="21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20"/>
      <c r="B377" s="19"/>
      <c r="C377" s="20"/>
      <c r="D377" s="20"/>
      <c r="E377" s="21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20"/>
      <c r="B378" s="19"/>
      <c r="C378" s="20"/>
      <c r="D378" s="20"/>
      <c r="E378" s="21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20"/>
      <c r="B379" s="19"/>
      <c r="C379" s="20"/>
      <c r="D379" s="20"/>
      <c r="E379" s="21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20"/>
      <c r="B380" s="19"/>
      <c r="C380" s="20"/>
      <c r="D380" s="20"/>
      <c r="E380" s="21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20"/>
      <c r="B381" s="19"/>
      <c r="C381" s="20"/>
      <c r="D381" s="20"/>
      <c r="E381" s="21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20"/>
      <c r="B382" s="19"/>
      <c r="C382" s="20"/>
      <c r="D382" s="20"/>
      <c r="E382" s="21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20"/>
      <c r="B383" s="19"/>
      <c r="C383" s="20"/>
      <c r="D383" s="20"/>
      <c r="E383" s="21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20"/>
      <c r="B384" s="19"/>
      <c r="C384" s="20"/>
      <c r="D384" s="20"/>
      <c r="E384" s="21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20"/>
      <c r="B385" s="19"/>
      <c r="C385" s="20"/>
      <c r="D385" s="20"/>
      <c r="E385" s="21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4"/>
      <c r="C386" s="3"/>
      <c r="D386" s="3"/>
      <c r="E386" s="5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4"/>
      <c r="C387" s="3"/>
      <c r="D387" s="3"/>
      <c r="E387" s="5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4"/>
      <c r="C388" s="3"/>
      <c r="D388" s="3"/>
      <c r="E388" s="5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4"/>
      <c r="C389" s="3"/>
      <c r="D389" s="3"/>
      <c r="E389" s="5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4"/>
      <c r="C390" s="3"/>
      <c r="D390" s="3"/>
      <c r="E390" s="5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4"/>
      <c r="C391" s="3"/>
      <c r="D391" s="3"/>
      <c r="E391" s="5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4"/>
      <c r="C392" s="3"/>
      <c r="D392" s="3"/>
      <c r="E392" s="5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4"/>
      <c r="C393" s="3"/>
      <c r="D393" s="3"/>
      <c r="E393" s="5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4"/>
      <c r="C394" s="3"/>
      <c r="D394" s="3"/>
      <c r="E394" s="5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4"/>
      <c r="C395" s="3"/>
      <c r="D395" s="3"/>
      <c r="E395" s="5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4"/>
      <c r="C396" s="3"/>
      <c r="D396" s="3"/>
      <c r="E396" s="5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4"/>
      <c r="C397" s="3"/>
      <c r="D397" s="3"/>
      <c r="E397" s="5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4"/>
      <c r="C398" s="3"/>
      <c r="D398" s="3"/>
      <c r="E398" s="5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4"/>
      <c r="C399" s="3"/>
      <c r="D399" s="3"/>
      <c r="E399" s="5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4"/>
      <c r="C400" s="3"/>
      <c r="D400" s="3"/>
      <c r="E400" s="5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4"/>
      <c r="C401" s="3"/>
      <c r="D401" s="3"/>
      <c r="E401" s="5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4"/>
      <c r="C402" s="3"/>
      <c r="D402" s="3"/>
      <c r="E402" s="5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4"/>
      <c r="C403" s="3"/>
      <c r="D403" s="3"/>
      <c r="E403" s="5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4"/>
      <c r="C404" s="3"/>
      <c r="D404" s="3"/>
      <c r="E404" s="5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4"/>
      <c r="C405" s="3"/>
      <c r="D405" s="3"/>
      <c r="E405" s="5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4"/>
      <c r="C406" s="3"/>
      <c r="D406" s="3"/>
      <c r="E406" s="5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4"/>
      <c r="C407" s="3"/>
      <c r="D407" s="3"/>
      <c r="E407" s="5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4"/>
      <c r="C408" s="3"/>
      <c r="D408" s="3"/>
      <c r="E408" s="5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4"/>
      <c r="C409" s="3"/>
      <c r="D409" s="3"/>
      <c r="E409" s="5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4"/>
      <c r="C410" s="3"/>
      <c r="D410" s="3"/>
      <c r="E410" s="5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4"/>
      <c r="C411" s="3"/>
      <c r="D411" s="3"/>
      <c r="E411" s="5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4"/>
      <c r="C412" s="3"/>
      <c r="D412" s="3"/>
      <c r="E412" s="5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4"/>
      <c r="C413" s="3"/>
      <c r="D413" s="3"/>
      <c r="E413" s="5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4"/>
      <c r="C414" s="3"/>
      <c r="D414" s="3"/>
      <c r="E414" s="5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4"/>
      <c r="C415" s="3"/>
      <c r="D415" s="3"/>
      <c r="E415" s="5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4"/>
      <c r="C416" s="3"/>
      <c r="D416" s="3"/>
      <c r="E416" s="5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4"/>
      <c r="C417" s="3"/>
      <c r="D417" s="3"/>
      <c r="E417" s="5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4"/>
      <c r="C418" s="3"/>
      <c r="D418" s="3"/>
      <c r="E418" s="5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4"/>
      <c r="C419" s="3"/>
      <c r="D419" s="3"/>
      <c r="E419" s="5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4"/>
      <c r="C420" s="3"/>
      <c r="D420" s="3"/>
      <c r="E420" s="5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4"/>
      <c r="C421" s="3"/>
      <c r="D421" s="3"/>
      <c r="E421" s="5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4"/>
      <c r="C422" s="3"/>
      <c r="D422" s="3"/>
      <c r="E422" s="5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4"/>
      <c r="C423" s="3"/>
      <c r="D423" s="3"/>
      <c r="E423" s="5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4"/>
      <c r="C424" s="3"/>
      <c r="D424" s="3"/>
      <c r="E424" s="5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4"/>
      <c r="C425" s="3"/>
      <c r="D425" s="3"/>
      <c r="E425" s="5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4"/>
      <c r="C426" s="3"/>
      <c r="D426" s="3"/>
      <c r="E426" s="5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4"/>
      <c r="C427" s="3"/>
      <c r="D427" s="3"/>
      <c r="E427" s="5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4"/>
      <c r="C428" s="3"/>
      <c r="D428" s="3"/>
      <c r="E428" s="5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4"/>
      <c r="C429" s="3"/>
      <c r="D429" s="3"/>
      <c r="E429" s="5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4"/>
      <c r="C430" s="3"/>
      <c r="D430" s="3"/>
      <c r="E430" s="5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4"/>
      <c r="C431" s="3"/>
      <c r="D431" s="3"/>
      <c r="E431" s="5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4"/>
      <c r="C432" s="3"/>
      <c r="D432" s="3"/>
      <c r="E432" s="5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4"/>
      <c r="C433" s="3"/>
      <c r="D433" s="3"/>
      <c r="E433" s="5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4"/>
      <c r="C434" s="3"/>
      <c r="D434" s="3"/>
      <c r="E434" s="5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4"/>
      <c r="C435" s="3"/>
      <c r="D435" s="3"/>
      <c r="E435" s="5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4"/>
      <c r="C436" s="3"/>
      <c r="D436" s="3"/>
      <c r="E436" s="5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4"/>
      <c r="C437" s="3"/>
      <c r="D437" s="3"/>
      <c r="E437" s="5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4"/>
      <c r="C438" s="3"/>
      <c r="D438" s="3"/>
      <c r="E438" s="5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4"/>
      <c r="C439" s="3"/>
      <c r="D439" s="3"/>
      <c r="E439" s="5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4"/>
      <c r="C440" s="3"/>
      <c r="D440" s="3"/>
      <c r="E440" s="5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4"/>
      <c r="C441" s="3"/>
      <c r="D441" s="3"/>
      <c r="E441" s="5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4"/>
      <c r="C442" s="3"/>
      <c r="D442" s="3"/>
      <c r="E442" s="5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4"/>
      <c r="C443" s="3"/>
      <c r="D443" s="3"/>
      <c r="E443" s="5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4"/>
      <c r="C444" s="3"/>
      <c r="D444" s="3"/>
      <c r="E444" s="5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4"/>
      <c r="C445" s="3"/>
      <c r="D445" s="3"/>
      <c r="E445" s="5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4"/>
      <c r="C446" s="3"/>
      <c r="D446" s="3"/>
      <c r="E446" s="5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4"/>
      <c r="C447" s="3"/>
      <c r="D447" s="3"/>
      <c r="E447" s="5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4"/>
      <c r="C448" s="3"/>
      <c r="D448" s="3"/>
      <c r="E448" s="5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4"/>
      <c r="C449" s="3"/>
      <c r="D449" s="3"/>
      <c r="E449" s="5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4"/>
      <c r="C450" s="3"/>
      <c r="D450" s="3"/>
      <c r="E450" s="5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4"/>
      <c r="C451" s="3"/>
      <c r="D451" s="3"/>
      <c r="E451" s="5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4"/>
      <c r="C452" s="3"/>
      <c r="D452" s="3"/>
      <c r="E452" s="5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4"/>
      <c r="C453" s="3"/>
      <c r="D453" s="3"/>
      <c r="E453" s="5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4"/>
      <c r="C454" s="3"/>
      <c r="D454" s="3"/>
      <c r="E454" s="5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4"/>
      <c r="C455" s="3"/>
      <c r="D455" s="3"/>
      <c r="E455" s="5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4"/>
      <c r="C456" s="3"/>
      <c r="D456" s="3"/>
      <c r="E456" s="5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4"/>
      <c r="C457" s="3"/>
      <c r="D457" s="3"/>
      <c r="E457" s="5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4"/>
      <c r="C458" s="3"/>
      <c r="D458" s="3"/>
      <c r="E458" s="5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4"/>
      <c r="C459" s="3"/>
      <c r="D459" s="3"/>
      <c r="E459" s="5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4"/>
      <c r="C460" s="3"/>
      <c r="D460" s="3"/>
      <c r="E460" s="5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4"/>
      <c r="C461" s="3"/>
      <c r="D461" s="3"/>
      <c r="E461" s="5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4"/>
      <c r="C462" s="3"/>
      <c r="D462" s="3"/>
      <c r="E462" s="5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4"/>
      <c r="C463" s="3"/>
      <c r="D463" s="3"/>
      <c r="E463" s="5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4"/>
      <c r="C464" s="3"/>
      <c r="D464" s="3"/>
      <c r="E464" s="5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4"/>
      <c r="C465" s="3"/>
      <c r="D465" s="3"/>
      <c r="E465" s="5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4"/>
      <c r="C466" s="3"/>
      <c r="D466" s="3"/>
      <c r="E466" s="5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4"/>
      <c r="C467" s="3"/>
      <c r="D467" s="3"/>
      <c r="E467" s="5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4"/>
      <c r="C468" s="3"/>
      <c r="D468" s="3"/>
      <c r="E468" s="5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4"/>
      <c r="C469" s="3"/>
      <c r="D469" s="3"/>
      <c r="E469" s="5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4"/>
      <c r="C470" s="3"/>
      <c r="D470" s="3"/>
      <c r="E470" s="5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4"/>
      <c r="C471" s="3"/>
      <c r="D471" s="3"/>
      <c r="E471" s="5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4"/>
      <c r="C472" s="3"/>
      <c r="D472" s="3"/>
      <c r="E472" s="5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4"/>
      <c r="C473" s="3"/>
      <c r="D473" s="3"/>
      <c r="E473" s="5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4"/>
      <c r="C474" s="3"/>
      <c r="D474" s="3"/>
      <c r="E474" s="5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4"/>
      <c r="C475" s="3"/>
      <c r="D475" s="3"/>
      <c r="E475" s="5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4"/>
      <c r="C476" s="3"/>
      <c r="D476" s="3"/>
      <c r="E476" s="5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4"/>
      <c r="C477" s="3"/>
      <c r="D477" s="3"/>
      <c r="E477" s="5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4"/>
      <c r="C478" s="3"/>
      <c r="D478" s="3"/>
      <c r="E478" s="5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4"/>
      <c r="C479" s="3"/>
      <c r="D479" s="3"/>
      <c r="E479" s="5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4"/>
      <c r="C480" s="3"/>
      <c r="D480" s="3"/>
      <c r="E480" s="5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4"/>
      <c r="C481" s="3"/>
      <c r="D481" s="3"/>
      <c r="E481" s="5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4"/>
      <c r="C482" s="3"/>
      <c r="D482" s="3"/>
      <c r="E482" s="5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4"/>
      <c r="C483" s="3"/>
      <c r="D483" s="3"/>
      <c r="E483" s="5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4"/>
      <c r="C484" s="3"/>
      <c r="D484" s="3"/>
      <c r="E484" s="5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4"/>
      <c r="C485" s="3"/>
      <c r="D485" s="3"/>
      <c r="E485" s="5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4"/>
      <c r="C486" s="3"/>
      <c r="D486" s="3"/>
      <c r="E486" s="5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4"/>
      <c r="C487" s="3"/>
      <c r="D487" s="3"/>
      <c r="E487" s="5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4"/>
      <c r="C488" s="3"/>
      <c r="D488" s="3"/>
      <c r="E488" s="5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4"/>
      <c r="C489" s="3"/>
      <c r="D489" s="3"/>
      <c r="E489" s="5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4"/>
      <c r="C490" s="3"/>
      <c r="D490" s="3"/>
      <c r="E490" s="5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4"/>
      <c r="C491" s="3"/>
      <c r="D491" s="3"/>
      <c r="E491" s="5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4"/>
      <c r="C492" s="3"/>
      <c r="D492" s="3"/>
      <c r="E492" s="5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4"/>
      <c r="C493" s="3"/>
      <c r="D493" s="3"/>
      <c r="E493" s="5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4"/>
      <c r="C494" s="3"/>
      <c r="D494" s="3"/>
      <c r="E494" s="5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4"/>
      <c r="C495" s="3"/>
      <c r="D495" s="3"/>
      <c r="E495" s="5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4"/>
      <c r="C496" s="3"/>
      <c r="D496" s="3"/>
      <c r="E496" s="5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4"/>
      <c r="C497" s="3"/>
      <c r="D497" s="3"/>
      <c r="E497" s="5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4"/>
      <c r="C498" s="3"/>
      <c r="D498" s="3"/>
      <c r="E498" s="5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4"/>
      <c r="C499" s="3"/>
      <c r="D499" s="3"/>
      <c r="E499" s="5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4"/>
      <c r="C500" s="3"/>
      <c r="D500" s="3"/>
      <c r="E500" s="5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4"/>
      <c r="C501" s="3"/>
      <c r="D501" s="3"/>
      <c r="E501" s="5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4"/>
      <c r="C502" s="3"/>
      <c r="D502" s="3"/>
      <c r="E502" s="5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4"/>
      <c r="C503" s="3"/>
      <c r="D503" s="3"/>
      <c r="E503" s="5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4"/>
      <c r="C504" s="3"/>
      <c r="D504" s="3"/>
      <c r="E504" s="5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4"/>
      <c r="C505" s="3"/>
      <c r="D505" s="3"/>
      <c r="E505" s="5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4"/>
      <c r="C506" s="3"/>
      <c r="D506" s="3"/>
      <c r="E506" s="5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4"/>
      <c r="C507" s="3"/>
      <c r="D507" s="3"/>
      <c r="E507" s="5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4"/>
      <c r="C508" s="3"/>
      <c r="D508" s="3"/>
      <c r="E508" s="5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4"/>
      <c r="C509" s="3"/>
      <c r="D509" s="3"/>
      <c r="E509" s="5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4"/>
      <c r="C510" s="3"/>
      <c r="D510" s="3"/>
      <c r="E510" s="5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4"/>
      <c r="C511" s="3"/>
      <c r="D511" s="3"/>
      <c r="E511" s="5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4"/>
      <c r="C512" s="3"/>
      <c r="D512" s="3"/>
      <c r="E512" s="5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4"/>
      <c r="C513" s="3"/>
      <c r="D513" s="3"/>
      <c r="E513" s="5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4"/>
      <c r="C514" s="3"/>
      <c r="D514" s="3"/>
      <c r="E514" s="5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4"/>
      <c r="C515" s="3"/>
      <c r="D515" s="3"/>
      <c r="E515" s="5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4"/>
      <c r="C516" s="3"/>
      <c r="D516" s="3"/>
      <c r="E516" s="5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4"/>
      <c r="C517" s="3"/>
      <c r="D517" s="3"/>
      <c r="E517" s="5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4"/>
      <c r="C518" s="3"/>
      <c r="D518" s="3"/>
      <c r="E518" s="5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4"/>
      <c r="C519" s="3"/>
      <c r="D519" s="3"/>
      <c r="E519" s="5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4"/>
      <c r="C520" s="3"/>
      <c r="D520" s="3"/>
      <c r="E520" s="5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4"/>
      <c r="C521" s="3"/>
      <c r="D521" s="3"/>
      <c r="E521" s="5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4"/>
      <c r="C522" s="3"/>
      <c r="D522" s="3"/>
      <c r="E522" s="5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4"/>
      <c r="C523" s="3"/>
      <c r="D523" s="3"/>
      <c r="E523" s="5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4"/>
      <c r="C524" s="3"/>
      <c r="D524" s="3"/>
      <c r="E524" s="5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4"/>
      <c r="C525" s="3"/>
      <c r="D525" s="3"/>
      <c r="E525" s="5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4"/>
      <c r="C526" s="3"/>
      <c r="D526" s="3"/>
      <c r="E526" s="5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4"/>
      <c r="C527" s="3"/>
      <c r="D527" s="3"/>
      <c r="E527" s="5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4"/>
      <c r="C528" s="3"/>
      <c r="D528" s="3"/>
      <c r="E528" s="5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4"/>
      <c r="C529" s="3"/>
      <c r="D529" s="3"/>
      <c r="E529" s="5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4"/>
      <c r="C530" s="3"/>
      <c r="D530" s="3"/>
      <c r="E530" s="5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4"/>
      <c r="C531" s="3"/>
      <c r="D531" s="3"/>
      <c r="E531" s="5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4"/>
      <c r="C532" s="3"/>
      <c r="D532" s="3"/>
      <c r="E532" s="5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4"/>
      <c r="C533" s="3"/>
      <c r="D533" s="3"/>
      <c r="E533" s="5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4"/>
      <c r="C534" s="3"/>
      <c r="D534" s="3"/>
      <c r="E534" s="5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4"/>
      <c r="C535" s="3"/>
      <c r="D535" s="3"/>
      <c r="E535" s="5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4"/>
      <c r="C536" s="3"/>
      <c r="D536" s="3"/>
      <c r="E536" s="5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4"/>
      <c r="C537" s="3"/>
      <c r="D537" s="3"/>
      <c r="E537" s="5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4"/>
      <c r="C538" s="3"/>
      <c r="D538" s="3"/>
      <c r="E538" s="5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4"/>
      <c r="C539" s="3"/>
      <c r="D539" s="3"/>
      <c r="E539" s="5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4"/>
      <c r="C540" s="3"/>
      <c r="D540" s="3"/>
      <c r="E540" s="5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4"/>
      <c r="C541" s="3"/>
      <c r="D541" s="3"/>
      <c r="E541" s="5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4"/>
      <c r="C542" s="3"/>
      <c r="D542" s="3"/>
      <c r="E542" s="5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4"/>
      <c r="C543" s="3"/>
      <c r="D543" s="3"/>
      <c r="E543" s="5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4"/>
      <c r="C544" s="3"/>
      <c r="D544" s="3"/>
      <c r="E544" s="5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4"/>
      <c r="C545" s="3"/>
      <c r="D545" s="3"/>
      <c r="E545" s="5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4"/>
      <c r="C546" s="3"/>
      <c r="D546" s="3"/>
      <c r="E546" s="5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4"/>
      <c r="C547" s="3"/>
      <c r="D547" s="3"/>
      <c r="E547" s="5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4"/>
      <c r="C548" s="3"/>
      <c r="D548" s="3"/>
      <c r="E548" s="5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4"/>
      <c r="C549" s="3"/>
      <c r="D549" s="3"/>
      <c r="E549" s="5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4"/>
      <c r="C550" s="3"/>
      <c r="D550" s="3"/>
      <c r="E550" s="5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4"/>
      <c r="C551" s="3"/>
      <c r="D551" s="3"/>
      <c r="E551" s="5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4"/>
      <c r="C552" s="3"/>
      <c r="D552" s="3"/>
      <c r="E552" s="5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4"/>
      <c r="C553" s="3"/>
      <c r="D553" s="3"/>
      <c r="E553" s="5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4"/>
      <c r="C554" s="3"/>
      <c r="D554" s="3"/>
      <c r="E554" s="5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4"/>
      <c r="C555" s="3"/>
      <c r="D555" s="3"/>
      <c r="E555" s="5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4"/>
      <c r="C556" s="3"/>
      <c r="D556" s="3"/>
      <c r="E556" s="5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4"/>
      <c r="C557" s="3"/>
      <c r="D557" s="3"/>
      <c r="E557" s="5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4"/>
      <c r="C558" s="3"/>
      <c r="D558" s="3"/>
      <c r="E558" s="5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4"/>
      <c r="C559" s="3"/>
      <c r="D559" s="3"/>
      <c r="E559" s="5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4"/>
      <c r="C560" s="3"/>
      <c r="D560" s="3"/>
      <c r="E560" s="5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4"/>
      <c r="C561" s="3"/>
      <c r="D561" s="3"/>
      <c r="E561" s="5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4"/>
      <c r="C562" s="3"/>
      <c r="D562" s="3"/>
      <c r="E562" s="5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4"/>
      <c r="C563" s="3"/>
      <c r="D563" s="3"/>
      <c r="E563" s="5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4"/>
      <c r="C564" s="3"/>
      <c r="D564" s="3"/>
      <c r="E564" s="5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4"/>
      <c r="C565" s="3"/>
      <c r="D565" s="3"/>
      <c r="E565" s="5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4"/>
      <c r="C566" s="3"/>
      <c r="D566" s="3"/>
      <c r="E566" s="5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4"/>
      <c r="C567" s="3"/>
      <c r="D567" s="3"/>
      <c r="E567" s="5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23"/>
      <c r="B568" s="23"/>
      <c r="C568" s="23"/>
      <c r="E568" s="23"/>
    </row>
    <row r="569" ht="15.75" customHeight="1">
      <c r="A569" s="23"/>
      <c r="B569" s="23"/>
      <c r="C569" s="23"/>
      <c r="E569" s="23"/>
    </row>
    <row r="570" ht="15.75" customHeight="1">
      <c r="A570" s="23"/>
      <c r="B570" s="23"/>
      <c r="C570" s="23"/>
      <c r="E570" s="23"/>
    </row>
    <row r="571" ht="15.75" customHeight="1">
      <c r="A571" s="23"/>
      <c r="B571" s="23"/>
      <c r="C571" s="23"/>
      <c r="E571" s="23"/>
    </row>
    <row r="572" ht="15.75" customHeight="1">
      <c r="A572" s="23"/>
      <c r="B572" s="23"/>
      <c r="C572" s="23"/>
      <c r="E572" s="23"/>
    </row>
    <row r="573" ht="15.75" customHeight="1">
      <c r="A573" s="23"/>
      <c r="B573" s="23"/>
      <c r="C573" s="23"/>
      <c r="E573" s="23"/>
    </row>
    <row r="574" ht="15.75" customHeight="1">
      <c r="A574" s="23"/>
      <c r="B574" s="23"/>
      <c r="C574" s="23"/>
      <c r="E574" s="23"/>
    </row>
    <row r="575" ht="15.75" customHeight="1">
      <c r="A575" s="23"/>
      <c r="B575" s="23"/>
      <c r="C575" s="23"/>
      <c r="E575" s="23"/>
    </row>
    <row r="576" ht="15.75" customHeight="1">
      <c r="A576" s="23"/>
      <c r="B576" s="23"/>
      <c r="C576" s="23"/>
      <c r="E576" s="23"/>
    </row>
    <row r="577" ht="15.75" customHeight="1">
      <c r="A577" s="23"/>
      <c r="B577" s="23"/>
      <c r="C577" s="23"/>
      <c r="E577" s="23"/>
    </row>
    <row r="578" ht="15.75" customHeight="1">
      <c r="A578" s="23"/>
      <c r="B578" s="23"/>
      <c r="C578" s="23"/>
      <c r="E578" s="23"/>
    </row>
    <row r="579" ht="15.75" customHeight="1">
      <c r="A579" s="23"/>
      <c r="B579" s="23"/>
      <c r="C579" s="23"/>
      <c r="E579" s="23"/>
    </row>
    <row r="580" ht="15.75" customHeight="1">
      <c r="A580" s="23"/>
      <c r="B580" s="23"/>
      <c r="C580" s="23"/>
      <c r="E580" s="23"/>
    </row>
    <row r="581" ht="15.75" customHeight="1">
      <c r="A581" s="23"/>
      <c r="B581" s="23"/>
      <c r="C581" s="23"/>
      <c r="E581" s="23"/>
    </row>
    <row r="582" ht="15.75" customHeight="1">
      <c r="A582" s="23"/>
      <c r="B582" s="23"/>
      <c r="C582" s="23"/>
      <c r="E582" s="23"/>
    </row>
    <row r="583" ht="15.75" customHeight="1">
      <c r="A583" s="23"/>
      <c r="B583" s="23"/>
      <c r="C583" s="23"/>
      <c r="E583" s="23"/>
    </row>
    <row r="584" ht="15.75" customHeight="1">
      <c r="A584" s="23"/>
      <c r="B584" s="23"/>
      <c r="C584" s="23"/>
      <c r="E584" s="23"/>
    </row>
    <row r="585" ht="15.75" customHeight="1">
      <c r="A585" s="23"/>
      <c r="B585" s="23"/>
      <c r="C585" s="23"/>
      <c r="E585" s="23"/>
    </row>
    <row r="586" ht="15.75" customHeight="1">
      <c r="A586" s="23"/>
      <c r="B586" s="23"/>
      <c r="C586" s="23"/>
      <c r="E586" s="23"/>
    </row>
    <row r="587" ht="15.75" customHeight="1">
      <c r="A587" s="23"/>
      <c r="B587" s="23"/>
      <c r="C587" s="23"/>
      <c r="E587" s="23"/>
    </row>
    <row r="588" ht="15.75" customHeight="1">
      <c r="A588" s="23"/>
      <c r="B588" s="23"/>
      <c r="C588" s="23"/>
      <c r="E588" s="23"/>
    </row>
    <row r="589" ht="15.75" customHeight="1">
      <c r="A589" s="23"/>
      <c r="B589" s="23"/>
      <c r="C589" s="23"/>
      <c r="E589" s="23"/>
    </row>
    <row r="590" ht="15.75" customHeight="1">
      <c r="A590" s="23"/>
      <c r="B590" s="23"/>
      <c r="C590" s="23"/>
      <c r="E590" s="23"/>
    </row>
    <row r="591" ht="15.75" customHeight="1">
      <c r="A591" s="23"/>
      <c r="B591" s="23"/>
      <c r="C591" s="23"/>
      <c r="E591" s="23"/>
    </row>
    <row r="592" ht="15.75" customHeight="1">
      <c r="A592" s="23"/>
      <c r="B592" s="23"/>
      <c r="C592" s="23"/>
      <c r="E592" s="23"/>
    </row>
    <row r="593" ht="15.75" customHeight="1">
      <c r="A593" s="23"/>
      <c r="B593" s="23"/>
      <c r="C593" s="23"/>
      <c r="E593" s="23"/>
    </row>
    <row r="594" ht="15.75" customHeight="1">
      <c r="A594" s="23"/>
      <c r="B594" s="23"/>
      <c r="C594" s="23"/>
      <c r="E594" s="23"/>
    </row>
    <row r="595" ht="15.75" customHeight="1">
      <c r="A595" s="23"/>
      <c r="B595" s="23"/>
      <c r="C595" s="23"/>
      <c r="E595" s="23"/>
    </row>
    <row r="596" ht="15.75" customHeight="1">
      <c r="A596" s="23"/>
      <c r="B596" s="23"/>
      <c r="C596" s="23"/>
      <c r="E596" s="23"/>
    </row>
    <row r="597" ht="15.75" customHeight="1">
      <c r="A597" s="23"/>
      <c r="B597" s="23"/>
      <c r="C597" s="23"/>
      <c r="E597" s="23"/>
    </row>
    <row r="598" ht="15.75" customHeight="1">
      <c r="A598" s="23"/>
      <c r="B598" s="23"/>
      <c r="C598" s="23"/>
      <c r="E598" s="23"/>
    </row>
    <row r="599" ht="15.75" customHeight="1">
      <c r="A599" s="23"/>
      <c r="B599" s="23"/>
      <c r="C599" s="23"/>
      <c r="E599" s="23"/>
    </row>
    <row r="600" ht="15.75" customHeight="1">
      <c r="A600" s="23"/>
      <c r="B600" s="23"/>
      <c r="C600" s="23"/>
      <c r="E600" s="23"/>
    </row>
    <row r="601" ht="15.75" customHeight="1">
      <c r="A601" s="23"/>
      <c r="B601" s="23"/>
      <c r="C601" s="23"/>
      <c r="E601" s="23"/>
    </row>
    <row r="602" ht="15.75" customHeight="1">
      <c r="A602" s="23"/>
      <c r="B602" s="23"/>
      <c r="C602" s="23"/>
      <c r="E602" s="23"/>
    </row>
    <row r="603" ht="15.75" customHeight="1">
      <c r="A603" s="23"/>
      <c r="B603" s="23"/>
      <c r="C603" s="23"/>
      <c r="E603" s="23"/>
    </row>
    <row r="604" ht="15.75" customHeight="1">
      <c r="A604" s="23"/>
      <c r="B604" s="23"/>
      <c r="C604" s="23"/>
      <c r="E604" s="23"/>
    </row>
    <row r="605" ht="15.75" customHeight="1">
      <c r="A605" s="23"/>
      <c r="B605" s="23"/>
      <c r="C605" s="23"/>
      <c r="E605" s="23"/>
    </row>
    <row r="606" ht="15.75" customHeight="1">
      <c r="A606" s="23"/>
      <c r="B606" s="23"/>
      <c r="C606" s="23"/>
      <c r="E606" s="23"/>
    </row>
    <row r="607" ht="15.75" customHeight="1">
      <c r="A607" s="23"/>
      <c r="B607" s="23"/>
      <c r="C607" s="23"/>
      <c r="E607" s="23"/>
    </row>
    <row r="608" ht="15.75" customHeight="1">
      <c r="A608" s="23"/>
      <c r="B608" s="23"/>
      <c r="C608" s="23"/>
      <c r="E608" s="23"/>
    </row>
    <row r="609" ht="15.75" customHeight="1">
      <c r="A609" s="23"/>
      <c r="B609" s="23"/>
      <c r="C609" s="23"/>
      <c r="E609" s="23"/>
    </row>
    <row r="610" ht="15.75" customHeight="1">
      <c r="A610" s="23"/>
      <c r="B610" s="23"/>
      <c r="C610" s="23"/>
      <c r="E610" s="23"/>
    </row>
    <row r="611" ht="15.75" customHeight="1">
      <c r="A611" s="23"/>
      <c r="B611" s="23"/>
      <c r="C611" s="23"/>
      <c r="E611" s="23"/>
    </row>
    <row r="612" ht="15.75" customHeight="1">
      <c r="A612" s="23"/>
      <c r="B612" s="23"/>
      <c r="C612" s="23"/>
      <c r="E612" s="23"/>
    </row>
    <row r="613" ht="15.75" customHeight="1">
      <c r="A613" s="23"/>
      <c r="B613" s="23"/>
      <c r="C613" s="23"/>
      <c r="E613" s="23"/>
    </row>
    <row r="614" ht="15.75" customHeight="1">
      <c r="A614" s="23"/>
      <c r="B614" s="23"/>
      <c r="C614" s="23"/>
      <c r="E614" s="23"/>
    </row>
    <row r="615" ht="15.75" customHeight="1">
      <c r="A615" s="23"/>
      <c r="B615" s="23"/>
      <c r="C615" s="23"/>
      <c r="E615" s="23"/>
    </row>
    <row r="616" ht="15.75" customHeight="1">
      <c r="A616" s="23"/>
      <c r="B616" s="23"/>
      <c r="C616" s="23"/>
      <c r="E616" s="23"/>
    </row>
    <row r="617" ht="15.75" customHeight="1">
      <c r="A617" s="23"/>
      <c r="B617" s="23"/>
      <c r="C617" s="23"/>
      <c r="E617" s="23"/>
    </row>
    <row r="618" ht="15.75" customHeight="1">
      <c r="A618" s="23"/>
      <c r="B618" s="23"/>
      <c r="C618" s="23"/>
      <c r="E618" s="23"/>
    </row>
    <row r="619" ht="15.75" customHeight="1">
      <c r="A619" s="23"/>
      <c r="B619" s="23"/>
      <c r="C619" s="23"/>
      <c r="E619" s="23"/>
    </row>
    <row r="620" ht="15.75" customHeight="1">
      <c r="A620" s="23"/>
      <c r="B620" s="23"/>
      <c r="C620" s="23"/>
      <c r="E620" s="23"/>
    </row>
    <row r="621" ht="15.75" customHeight="1">
      <c r="A621" s="23"/>
      <c r="B621" s="23"/>
      <c r="C621" s="23"/>
      <c r="E621" s="23"/>
    </row>
    <row r="622" ht="15.75" customHeight="1">
      <c r="A622" s="23"/>
      <c r="B622" s="23"/>
      <c r="C622" s="23"/>
      <c r="E622" s="23"/>
    </row>
    <row r="623" ht="15.75" customHeight="1">
      <c r="A623" s="23"/>
      <c r="B623" s="23"/>
      <c r="C623" s="23"/>
      <c r="E623" s="23"/>
    </row>
    <row r="624" ht="15.75" customHeight="1">
      <c r="A624" s="23"/>
      <c r="B624" s="23"/>
      <c r="C624" s="23"/>
      <c r="E624" s="23"/>
    </row>
    <row r="625" ht="15.75" customHeight="1">
      <c r="A625" s="23"/>
      <c r="B625" s="23"/>
      <c r="C625" s="23"/>
      <c r="E625" s="23"/>
    </row>
    <row r="626" ht="15.75" customHeight="1">
      <c r="A626" s="23"/>
      <c r="B626" s="23"/>
      <c r="C626" s="23"/>
      <c r="E626" s="23"/>
    </row>
    <row r="627" ht="15.75" customHeight="1">
      <c r="A627" s="23"/>
      <c r="B627" s="23"/>
      <c r="C627" s="23"/>
      <c r="E627" s="23"/>
    </row>
    <row r="628" ht="15.75" customHeight="1">
      <c r="A628" s="23"/>
      <c r="B628" s="23"/>
      <c r="C628" s="23"/>
      <c r="E628" s="23"/>
    </row>
    <row r="629" ht="15.75" customHeight="1">
      <c r="A629" s="23"/>
      <c r="B629" s="23"/>
      <c r="C629" s="23"/>
      <c r="E629" s="23"/>
    </row>
    <row r="630" ht="15.75" customHeight="1">
      <c r="A630" s="23"/>
      <c r="B630" s="23"/>
      <c r="C630" s="23"/>
      <c r="E630" s="23"/>
    </row>
    <row r="631" ht="15.75" customHeight="1">
      <c r="A631" s="23"/>
      <c r="B631" s="23"/>
      <c r="C631" s="23"/>
      <c r="E631" s="23"/>
    </row>
    <row r="632" ht="15.75" customHeight="1">
      <c r="A632" s="23"/>
      <c r="B632" s="23"/>
      <c r="C632" s="23"/>
      <c r="E632" s="23"/>
    </row>
    <row r="633" ht="15.75" customHeight="1">
      <c r="A633" s="23"/>
      <c r="B633" s="23"/>
      <c r="C633" s="23"/>
      <c r="E633" s="23"/>
    </row>
    <row r="634" ht="15.75" customHeight="1">
      <c r="A634" s="23"/>
      <c r="B634" s="23"/>
      <c r="C634" s="23"/>
      <c r="E634" s="23"/>
    </row>
    <row r="635" ht="15.75" customHeight="1">
      <c r="A635" s="23"/>
      <c r="B635" s="23"/>
      <c r="C635" s="23"/>
      <c r="E635" s="23"/>
    </row>
    <row r="636" ht="15.75" customHeight="1">
      <c r="A636" s="23"/>
      <c r="B636" s="23"/>
      <c r="C636" s="23"/>
      <c r="E636" s="23"/>
    </row>
    <row r="637" ht="15.75" customHeight="1">
      <c r="A637" s="23"/>
      <c r="B637" s="23"/>
      <c r="C637" s="23"/>
      <c r="E637" s="23"/>
    </row>
    <row r="638" ht="15.75" customHeight="1">
      <c r="A638" s="23"/>
      <c r="B638" s="23"/>
      <c r="C638" s="23"/>
      <c r="E638" s="23"/>
    </row>
    <row r="639" ht="15.75" customHeight="1">
      <c r="A639" s="23"/>
      <c r="B639" s="23"/>
      <c r="C639" s="23"/>
      <c r="E639" s="23"/>
    </row>
    <row r="640" ht="15.75" customHeight="1">
      <c r="A640" s="23"/>
      <c r="B640" s="23"/>
      <c r="C640" s="23"/>
      <c r="E640" s="23"/>
    </row>
    <row r="641" ht="15.75" customHeight="1">
      <c r="A641" s="23"/>
      <c r="B641" s="23"/>
      <c r="C641" s="23"/>
      <c r="E641" s="23"/>
    </row>
    <row r="642" ht="15.75" customHeight="1">
      <c r="A642" s="23"/>
      <c r="B642" s="23"/>
      <c r="C642" s="23"/>
      <c r="E642" s="23"/>
    </row>
    <row r="643" ht="15.75" customHeight="1">
      <c r="A643" s="23"/>
      <c r="B643" s="23"/>
      <c r="C643" s="23"/>
      <c r="E643" s="23"/>
    </row>
    <row r="644" ht="15.75" customHeight="1">
      <c r="A644" s="23"/>
      <c r="B644" s="23"/>
      <c r="C644" s="23"/>
      <c r="E644" s="23"/>
    </row>
    <row r="645" ht="15.75" customHeight="1">
      <c r="A645" s="23"/>
      <c r="B645" s="23"/>
      <c r="C645" s="23"/>
      <c r="E645" s="23"/>
    </row>
    <row r="646" ht="15.75" customHeight="1">
      <c r="A646" s="23"/>
      <c r="B646" s="23"/>
      <c r="C646" s="23"/>
      <c r="E646" s="23"/>
    </row>
    <row r="647" ht="15.75" customHeight="1">
      <c r="A647" s="23"/>
      <c r="B647" s="23"/>
      <c r="C647" s="23"/>
      <c r="E647" s="23"/>
    </row>
    <row r="648" ht="15.75" customHeight="1">
      <c r="A648" s="23"/>
      <c r="B648" s="23"/>
      <c r="C648" s="23"/>
      <c r="E648" s="23"/>
    </row>
    <row r="649" ht="15.75" customHeight="1">
      <c r="A649" s="23"/>
      <c r="B649" s="23"/>
      <c r="C649" s="23"/>
      <c r="E649" s="23"/>
    </row>
    <row r="650" ht="15.75" customHeight="1">
      <c r="A650" s="23"/>
      <c r="B650" s="23"/>
      <c r="C650" s="23"/>
      <c r="E650" s="23"/>
    </row>
    <row r="651" ht="15.75" customHeight="1">
      <c r="A651" s="23"/>
      <c r="B651" s="23"/>
      <c r="C651" s="23"/>
      <c r="E651" s="23"/>
    </row>
    <row r="652" ht="15.75" customHeight="1">
      <c r="A652" s="23"/>
      <c r="B652" s="23"/>
      <c r="C652" s="23"/>
      <c r="E652" s="23"/>
    </row>
    <row r="653" ht="15.75" customHeight="1">
      <c r="A653" s="23"/>
      <c r="B653" s="23"/>
      <c r="C653" s="23"/>
      <c r="E653" s="23"/>
    </row>
    <row r="654" ht="15.75" customHeight="1">
      <c r="A654" s="23"/>
      <c r="B654" s="23"/>
      <c r="C654" s="23"/>
      <c r="E654" s="23"/>
    </row>
    <row r="655" ht="15.75" customHeight="1">
      <c r="A655" s="23"/>
      <c r="B655" s="23"/>
      <c r="C655" s="23"/>
      <c r="E655" s="23"/>
    </row>
    <row r="656" ht="15.75" customHeight="1">
      <c r="A656" s="23"/>
      <c r="B656" s="23"/>
      <c r="C656" s="23"/>
      <c r="E656" s="23"/>
    </row>
    <row r="657" ht="15.75" customHeight="1">
      <c r="A657" s="23"/>
      <c r="B657" s="23"/>
      <c r="C657" s="23"/>
      <c r="E657" s="23"/>
    </row>
    <row r="658" ht="15.75" customHeight="1">
      <c r="A658" s="23"/>
      <c r="B658" s="23"/>
      <c r="C658" s="23"/>
      <c r="E658" s="23"/>
    </row>
    <row r="659" ht="15.75" customHeight="1">
      <c r="A659" s="23"/>
      <c r="B659" s="23"/>
      <c r="C659" s="23"/>
      <c r="E659" s="23"/>
    </row>
    <row r="660" ht="15.75" customHeight="1">
      <c r="A660" s="23"/>
      <c r="B660" s="23"/>
      <c r="C660" s="23"/>
      <c r="E660" s="23"/>
    </row>
    <row r="661" ht="15.75" customHeight="1">
      <c r="A661" s="23"/>
      <c r="B661" s="23"/>
      <c r="C661" s="23"/>
      <c r="E661" s="23"/>
    </row>
    <row r="662" ht="15.75" customHeight="1">
      <c r="A662" s="23"/>
      <c r="B662" s="23"/>
      <c r="C662" s="23"/>
      <c r="E662" s="23"/>
    </row>
    <row r="663" ht="15.75" customHeight="1">
      <c r="A663" s="23"/>
      <c r="B663" s="23"/>
      <c r="C663" s="23"/>
      <c r="E663" s="23"/>
    </row>
    <row r="664" ht="15.75" customHeight="1">
      <c r="A664" s="23"/>
      <c r="B664" s="23"/>
      <c r="C664" s="23"/>
      <c r="E664" s="23"/>
    </row>
    <row r="665" ht="15.75" customHeight="1">
      <c r="A665" s="23"/>
      <c r="B665" s="23"/>
      <c r="C665" s="23"/>
      <c r="E665" s="23"/>
    </row>
    <row r="666" ht="15.75" customHeight="1">
      <c r="A666" s="23"/>
      <c r="B666" s="23"/>
      <c r="C666" s="23"/>
      <c r="E666" s="23"/>
    </row>
    <row r="667" ht="15.75" customHeight="1">
      <c r="A667" s="23"/>
      <c r="B667" s="23"/>
      <c r="C667" s="23"/>
      <c r="E667" s="23"/>
    </row>
    <row r="668" ht="15.75" customHeight="1">
      <c r="A668" s="23"/>
      <c r="B668" s="23"/>
      <c r="C668" s="23"/>
      <c r="E668" s="23"/>
    </row>
    <row r="669" ht="15.75" customHeight="1">
      <c r="A669" s="23"/>
      <c r="B669" s="23"/>
      <c r="C669" s="23"/>
      <c r="E669" s="23"/>
    </row>
    <row r="670" ht="15.75" customHeight="1">
      <c r="A670" s="23"/>
      <c r="B670" s="23"/>
      <c r="C670" s="23"/>
      <c r="E670" s="23"/>
    </row>
    <row r="671" ht="15.75" customHeight="1">
      <c r="A671" s="23"/>
      <c r="B671" s="23"/>
      <c r="C671" s="23"/>
      <c r="E671" s="23"/>
    </row>
    <row r="672" ht="15.75" customHeight="1">
      <c r="A672" s="23"/>
      <c r="B672" s="23"/>
      <c r="C672" s="23"/>
      <c r="E672" s="23"/>
    </row>
    <row r="673" ht="15.75" customHeight="1">
      <c r="A673" s="23"/>
      <c r="B673" s="23"/>
      <c r="C673" s="23"/>
      <c r="E673" s="23"/>
    </row>
    <row r="674" ht="15.75" customHeight="1">
      <c r="A674" s="23"/>
      <c r="B674" s="23"/>
      <c r="C674" s="23"/>
      <c r="E674" s="23"/>
    </row>
    <row r="675" ht="15.75" customHeight="1">
      <c r="A675" s="23"/>
      <c r="B675" s="23"/>
      <c r="C675" s="23"/>
      <c r="E675" s="23"/>
    </row>
    <row r="676" ht="15.75" customHeight="1">
      <c r="A676" s="23"/>
      <c r="B676" s="23"/>
      <c r="C676" s="23"/>
      <c r="E676" s="23"/>
    </row>
    <row r="677" ht="15.75" customHeight="1">
      <c r="A677" s="23"/>
      <c r="B677" s="23"/>
      <c r="C677" s="23"/>
      <c r="E677" s="23"/>
    </row>
    <row r="678" ht="15.75" customHeight="1">
      <c r="A678" s="23"/>
      <c r="B678" s="23"/>
      <c r="C678" s="23"/>
      <c r="E678" s="23"/>
    </row>
    <row r="679" ht="15.75" customHeight="1">
      <c r="A679" s="23"/>
      <c r="B679" s="23"/>
      <c r="C679" s="23"/>
      <c r="E679" s="23"/>
    </row>
    <row r="680" ht="15.75" customHeight="1">
      <c r="A680" s="23"/>
      <c r="B680" s="23"/>
      <c r="C680" s="23"/>
      <c r="E680" s="23"/>
    </row>
    <row r="681" ht="15.75" customHeight="1">
      <c r="A681" s="23"/>
      <c r="B681" s="23"/>
      <c r="C681" s="23"/>
      <c r="E681" s="23"/>
    </row>
    <row r="682" ht="15.75" customHeight="1">
      <c r="A682" s="23"/>
      <c r="B682" s="23"/>
      <c r="C682" s="23"/>
      <c r="E682" s="23"/>
    </row>
    <row r="683" ht="15.75" customHeight="1">
      <c r="A683" s="23"/>
      <c r="B683" s="23"/>
      <c r="C683" s="23"/>
      <c r="E683" s="23"/>
    </row>
    <row r="684" ht="15.75" customHeight="1">
      <c r="A684" s="23"/>
      <c r="B684" s="23"/>
      <c r="C684" s="23"/>
      <c r="E684" s="23"/>
    </row>
    <row r="685" ht="15.75" customHeight="1">
      <c r="A685" s="23"/>
      <c r="B685" s="23"/>
      <c r="C685" s="23"/>
      <c r="E685" s="23"/>
    </row>
    <row r="686" ht="15.75" customHeight="1">
      <c r="A686" s="23"/>
      <c r="B686" s="23"/>
      <c r="C686" s="23"/>
      <c r="E686" s="23"/>
    </row>
    <row r="687" ht="15.75" customHeight="1">
      <c r="A687" s="23"/>
      <c r="B687" s="23"/>
      <c r="C687" s="23"/>
      <c r="E687" s="23"/>
    </row>
    <row r="688" ht="15.75" customHeight="1">
      <c r="A688" s="23"/>
      <c r="B688" s="23"/>
      <c r="C688" s="23"/>
      <c r="E688" s="23"/>
    </row>
    <row r="689" ht="15.75" customHeight="1">
      <c r="A689" s="23"/>
      <c r="B689" s="23"/>
      <c r="C689" s="23"/>
      <c r="E689" s="23"/>
    </row>
    <row r="690" ht="15.75" customHeight="1">
      <c r="A690" s="23"/>
      <c r="B690" s="23"/>
      <c r="C690" s="23"/>
      <c r="E690" s="23"/>
    </row>
    <row r="691" ht="15.75" customHeight="1">
      <c r="A691" s="23"/>
      <c r="B691" s="23"/>
      <c r="C691" s="23"/>
      <c r="E691" s="23"/>
    </row>
    <row r="692" ht="15.75" customHeight="1">
      <c r="A692" s="23"/>
      <c r="B692" s="23"/>
      <c r="C692" s="23"/>
      <c r="E692" s="23"/>
    </row>
    <row r="693" ht="15.75" customHeight="1">
      <c r="A693" s="23"/>
      <c r="B693" s="23"/>
      <c r="C693" s="23"/>
      <c r="E693" s="23"/>
    </row>
    <row r="694" ht="15.75" customHeight="1">
      <c r="A694" s="23"/>
      <c r="B694" s="23"/>
      <c r="C694" s="23"/>
      <c r="E694" s="23"/>
    </row>
    <row r="695" ht="15.75" customHeight="1">
      <c r="A695" s="23"/>
      <c r="B695" s="23"/>
      <c r="C695" s="23"/>
      <c r="E695" s="23"/>
    </row>
    <row r="696" ht="15.75" customHeight="1">
      <c r="A696" s="23"/>
      <c r="B696" s="23"/>
      <c r="C696" s="23"/>
      <c r="E696" s="23"/>
    </row>
    <row r="697" ht="15.75" customHeight="1">
      <c r="A697" s="23"/>
      <c r="B697" s="23"/>
      <c r="C697" s="23"/>
      <c r="E697" s="23"/>
    </row>
    <row r="698" ht="15.75" customHeight="1">
      <c r="A698" s="23"/>
      <c r="B698" s="23"/>
      <c r="C698" s="23"/>
      <c r="E698" s="23"/>
    </row>
    <row r="699" ht="15.75" customHeight="1">
      <c r="A699" s="23"/>
      <c r="B699" s="23"/>
      <c r="C699" s="23"/>
      <c r="E699" s="23"/>
    </row>
    <row r="700" ht="15.75" customHeight="1">
      <c r="A700" s="23"/>
      <c r="B700" s="23"/>
      <c r="C700" s="23"/>
      <c r="E700" s="23"/>
    </row>
    <row r="701" ht="15.75" customHeight="1">
      <c r="A701" s="23"/>
      <c r="B701" s="23"/>
      <c r="C701" s="23"/>
      <c r="E701" s="23"/>
    </row>
    <row r="702" ht="15.75" customHeight="1">
      <c r="A702" s="23"/>
      <c r="B702" s="23"/>
      <c r="C702" s="23"/>
      <c r="E702" s="23"/>
    </row>
    <row r="703" ht="15.75" customHeight="1">
      <c r="A703" s="23"/>
      <c r="B703" s="23"/>
      <c r="C703" s="23"/>
      <c r="E703" s="23"/>
    </row>
    <row r="704" ht="15.75" customHeight="1">
      <c r="A704" s="23"/>
      <c r="B704" s="23"/>
      <c r="C704" s="23"/>
      <c r="E704" s="23"/>
    </row>
    <row r="705" ht="15.75" customHeight="1">
      <c r="A705" s="23"/>
      <c r="B705" s="23"/>
      <c r="C705" s="23"/>
      <c r="E705" s="23"/>
    </row>
    <row r="706" ht="15.75" customHeight="1">
      <c r="A706" s="23"/>
      <c r="B706" s="23"/>
      <c r="C706" s="23"/>
      <c r="E706" s="23"/>
    </row>
    <row r="707" ht="15.75" customHeight="1">
      <c r="A707" s="23"/>
      <c r="B707" s="23"/>
      <c r="C707" s="23"/>
      <c r="E707" s="23"/>
    </row>
    <row r="708" ht="15.75" customHeight="1">
      <c r="A708" s="23"/>
      <c r="B708" s="23"/>
      <c r="C708" s="23"/>
      <c r="E708" s="23"/>
    </row>
    <row r="709" ht="15.75" customHeight="1">
      <c r="A709" s="23"/>
      <c r="B709" s="23"/>
      <c r="C709" s="23"/>
      <c r="E709" s="23"/>
    </row>
    <row r="710" ht="15.75" customHeight="1">
      <c r="A710" s="23"/>
      <c r="B710" s="23"/>
      <c r="C710" s="23"/>
      <c r="E710" s="23"/>
    </row>
    <row r="711" ht="15.75" customHeight="1">
      <c r="A711" s="23"/>
      <c r="B711" s="23"/>
      <c r="C711" s="23"/>
      <c r="E711" s="23"/>
    </row>
    <row r="712" ht="15.75" customHeight="1">
      <c r="A712" s="23"/>
      <c r="B712" s="23"/>
      <c r="C712" s="23"/>
      <c r="E712" s="23"/>
    </row>
    <row r="713" ht="15.75" customHeight="1">
      <c r="A713" s="23"/>
      <c r="B713" s="23"/>
      <c r="C713" s="23"/>
      <c r="E713" s="23"/>
    </row>
    <row r="714" ht="15.75" customHeight="1">
      <c r="A714" s="23"/>
      <c r="B714" s="23"/>
      <c r="C714" s="23"/>
      <c r="E714" s="23"/>
    </row>
    <row r="715" ht="15.75" customHeight="1">
      <c r="A715" s="23"/>
      <c r="B715" s="23"/>
      <c r="C715" s="23"/>
      <c r="E715" s="23"/>
    </row>
    <row r="716" ht="15.75" customHeight="1">
      <c r="A716" s="23"/>
      <c r="B716" s="23"/>
      <c r="C716" s="23"/>
      <c r="E716" s="23"/>
    </row>
    <row r="717" ht="15.75" customHeight="1">
      <c r="A717" s="23"/>
      <c r="B717" s="23"/>
      <c r="C717" s="23"/>
      <c r="E717" s="23"/>
    </row>
    <row r="718" ht="15.75" customHeight="1">
      <c r="A718" s="23"/>
      <c r="B718" s="23"/>
      <c r="C718" s="23"/>
      <c r="E718" s="23"/>
    </row>
    <row r="719" ht="15.75" customHeight="1">
      <c r="A719" s="23"/>
      <c r="B719" s="23"/>
      <c r="C719" s="23"/>
      <c r="E719" s="23"/>
    </row>
    <row r="720" ht="15.75" customHeight="1">
      <c r="A720" s="23"/>
      <c r="B720" s="23"/>
      <c r="C720" s="23"/>
      <c r="E720" s="23"/>
    </row>
    <row r="721" ht="15.75" customHeight="1">
      <c r="A721" s="23"/>
      <c r="B721" s="23"/>
      <c r="C721" s="23"/>
      <c r="E721" s="23"/>
    </row>
    <row r="722" ht="15.75" customHeight="1">
      <c r="A722" s="23"/>
      <c r="B722" s="23"/>
      <c r="C722" s="23"/>
      <c r="E722" s="23"/>
    </row>
    <row r="723" ht="15.75" customHeight="1">
      <c r="A723" s="23"/>
      <c r="B723" s="23"/>
      <c r="C723" s="23"/>
      <c r="E723" s="23"/>
    </row>
    <row r="724" ht="15.75" customHeight="1">
      <c r="A724" s="23"/>
      <c r="B724" s="23"/>
      <c r="C724" s="23"/>
      <c r="E724" s="23"/>
    </row>
    <row r="725" ht="15.75" customHeight="1">
      <c r="A725" s="23"/>
      <c r="B725" s="23"/>
      <c r="C725" s="23"/>
      <c r="E725" s="23"/>
    </row>
    <row r="726" ht="15.75" customHeight="1">
      <c r="A726" s="23"/>
      <c r="B726" s="23"/>
      <c r="C726" s="23"/>
      <c r="E726" s="23"/>
    </row>
    <row r="727" ht="15.75" customHeight="1">
      <c r="A727" s="23"/>
      <c r="B727" s="23"/>
      <c r="C727" s="23"/>
      <c r="E727" s="23"/>
    </row>
    <row r="728" ht="15.75" customHeight="1">
      <c r="A728" s="23"/>
      <c r="B728" s="23"/>
      <c r="C728" s="23"/>
      <c r="E728" s="23"/>
    </row>
    <row r="729" ht="15.75" customHeight="1">
      <c r="A729" s="23"/>
      <c r="B729" s="23"/>
      <c r="C729" s="23"/>
      <c r="E729" s="23"/>
    </row>
    <row r="730" ht="15.75" customHeight="1">
      <c r="A730" s="23"/>
      <c r="B730" s="23"/>
      <c r="C730" s="23"/>
      <c r="E730" s="23"/>
    </row>
    <row r="731" ht="15.75" customHeight="1">
      <c r="A731" s="23"/>
      <c r="B731" s="23"/>
      <c r="C731" s="23"/>
      <c r="E731" s="23"/>
    </row>
    <row r="732" ht="15.75" customHeight="1">
      <c r="A732" s="23"/>
      <c r="B732" s="23"/>
      <c r="C732" s="23"/>
      <c r="E732" s="23"/>
    </row>
    <row r="733" ht="15.75" customHeight="1">
      <c r="A733" s="23"/>
      <c r="B733" s="23"/>
      <c r="C733" s="23"/>
      <c r="E733" s="23"/>
    </row>
    <row r="734" ht="15.75" customHeight="1">
      <c r="A734" s="23"/>
      <c r="B734" s="23"/>
      <c r="C734" s="23"/>
      <c r="E734" s="23"/>
    </row>
    <row r="735" ht="15.75" customHeight="1">
      <c r="A735" s="23"/>
      <c r="B735" s="23"/>
      <c r="C735" s="23"/>
      <c r="E735" s="23"/>
    </row>
    <row r="736" ht="15.75" customHeight="1">
      <c r="A736" s="23"/>
      <c r="B736" s="23"/>
      <c r="C736" s="23"/>
      <c r="E736" s="23"/>
    </row>
    <row r="737" ht="15.75" customHeight="1">
      <c r="A737" s="23"/>
      <c r="B737" s="23"/>
      <c r="C737" s="23"/>
      <c r="E737" s="23"/>
    </row>
    <row r="738" ht="15.75" customHeight="1">
      <c r="A738" s="23"/>
      <c r="B738" s="23"/>
      <c r="C738" s="23"/>
      <c r="E738" s="23"/>
    </row>
    <row r="739" ht="15.75" customHeight="1">
      <c r="A739" s="23"/>
      <c r="B739" s="23"/>
      <c r="C739" s="23"/>
      <c r="E739" s="23"/>
    </row>
    <row r="740" ht="15.75" customHeight="1">
      <c r="A740" s="23"/>
      <c r="B740" s="23"/>
      <c r="C740" s="23"/>
      <c r="E740" s="23"/>
    </row>
    <row r="741" ht="15.75" customHeight="1">
      <c r="A741" s="23"/>
      <c r="B741" s="23"/>
      <c r="C741" s="23"/>
      <c r="E741" s="23"/>
    </row>
    <row r="742" ht="15.75" customHeight="1">
      <c r="A742" s="23"/>
      <c r="B742" s="23"/>
      <c r="C742" s="23"/>
      <c r="E742" s="23"/>
    </row>
    <row r="743" ht="15.75" customHeight="1">
      <c r="A743" s="23"/>
      <c r="B743" s="23"/>
      <c r="C743" s="23"/>
      <c r="E743" s="23"/>
    </row>
    <row r="744" ht="15.75" customHeight="1">
      <c r="A744" s="23"/>
      <c r="B744" s="23"/>
      <c r="C744" s="23"/>
      <c r="E744" s="23"/>
    </row>
    <row r="745" ht="15.75" customHeight="1">
      <c r="A745" s="23"/>
      <c r="B745" s="23"/>
      <c r="C745" s="23"/>
      <c r="E745" s="23"/>
    </row>
    <row r="746" ht="15.75" customHeight="1">
      <c r="A746" s="23"/>
      <c r="B746" s="23"/>
      <c r="C746" s="23"/>
      <c r="E746" s="23"/>
    </row>
    <row r="747" ht="15.75" customHeight="1">
      <c r="A747" s="23"/>
      <c r="B747" s="23"/>
      <c r="C747" s="23"/>
      <c r="E747" s="23"/>
    </row>
    <row r="748" ht="15.75" customHeight="1">
      <c r="A748" s="23"/>
      <c r="B748" s="23"/>
      <c r="C748" s="23"/>
      <c r="E748" s="23"/>
    </row>
    <row r="749" ht="15.75" customHeight="1">
      <c r="A749" s="23"/>
      <c r="B749" s="23"/>
      <c r="C749" s="23"/>
      <c r="E749" s="23"/>
    </row>
    <row r="750" ht="15.75" customHeight="1">
      <c r="A750" s="23"/>
      <c r="B750" s="23"/>
      <c r="C750" s="23"/>
      <c r="E750" s="23"/>
    </row>
    <row r="751" ht="15.75" customHeight="1">
      <c r="A751" s="23"/>
      <c r="B751" s="23"/>
      <c r="C751" s="23"/>
      <c r="E751" s="23"/>
    </row>
    <row r="752" ht="15.75" customHeight="1">
      <c r="A752" s="23"/>
      <c r="B752" s="23"/>
      <c r="C752" s="23"/>
      <c r="E752" s="23"/>
    </row>
    <row r="753" ht="15.75" customHeight="1">
      <c r="A753" s="23"/>
      <c r="B753" s="23"/>
      <c r="C753" s="23"/>
      <c r="E753" s="23"/>
    </row>
    <row r="754" ht="15.75" customHeight="1">
      <c r="A754" s="23"/>
      <c r="B754" s="23"/>
      <c r="C754" s="23"/>
      <c r="E754" s="23"/>
    </row>
    <row r="755" ht="15.75" customHeight="1">
      <c r="A755" s="23"/>
      <c r="B755" s="23"/>
      <c r="C755" s="23"/>
      <c r="E755" s="23"/>
    </row>
    <row r="756" ht="15.75" customHeight="1">
      <c r="A756" s="23"/>
      <c r="B756" s="23"/>
      <c r="C756" s="23"/>
      <c r="E756" s="23"/>
    </row>
    <row r="757" ht="15.75" customHeight="1">
      <c r="A757" s="23"/>
      <c r="B757" s="23"/>
      <c r="C757" s="23"/>
      <c r="E757" s="23"/>
    </row>
    <row r="758" ht="15.75" customHeight="1">
      <c r="A758" s="23"/>
      <c r="B758" s="23"/>
      <c r="C758" s="23"/>
      <c r="E758" s="23"/>
    </row>
    <row r="759" ht="15.75" customHeight="1">
      <c r="A759" s="23"/>
      <c r="B759" s="23"/>
      <c r="C759" s="23"/>
      <c r="E759" s="23"/>
    </row>
    <row r="760" ht="15.75" customHeight="1">
      <c r="A760" s="23"/>
      <c r="B760" s="23"/>
      <c r="C760" s="23"/>
      <c r="E760" s="23"/>
    </row>
    <row r="761" ht="15.75" customHeight="1">
      <c r="A761" s="23"/>
      <c r="B761" s="23"/>
      <c r="C761" s="23"/>
      <c r="E761" s="23"/>
    </row>
    <row r="762" ht="15.75" customHeight="1">
      <c r="A762" s="23"/>
      <c r="B762" s="23"/>
      <c r="C762" s="23"/>
      <c r="E762" s="23"/>
    </row>
    <row r="763" ht="15.75" customHeight="1">
      <c r="A763" s="23"/>
      <c r="B763" s="23"/>
      <c r="C763" s="23"/>
      <c r="E763" s="23"/>
    </row>
    <row r="764" ht="15.75" customHeight="1">
      <c r="A764" s="23"/>
      <c r="B764" s="23"/>
      <c r="C764" s="23"/>
      <c r="E764" s="23"/>
    </row>
    <row r="765" ht="15.75" customHeight="1">
      <c r="A765" s="23"/>
      <c r="B765" s="23"/>
      <c r="C765" s="23"/>
      <c r="E765" s="23"/>
    </row>
    <row r="766" ht="15.75" customHeight="1">
      <c r="A766" s="23"/>
      <c r="B766" s="23"/>
      <c r="C766" s="23"/>
      <c r="E766" s="23"/>
    </row>
    <row r="767" ht="15.75" customHeight="1">
      <c r="A767" s="23"/>
      <c r="B767" s="23"/>
      <c r="C767" s="23"/>
      <c r="E767" s="23"/>
    </row>
    <row r="768" ht="15.75" customHeight="1">
      <c r="A768" s="23"/>
      <c r="B768" s="23"/>
      <c r="C768" s="23"/>
      <c r="E768" s="23"/>
    </row>
    <row r="769" ht="15.75" customHeight="1">
      <c r="A769" s="23"/>
      <c r="B769" s="23"/>
      <c r="C769" s="23"/>
      <c r="E769" s="23"/>
    </row>
    <row r="770" ht="15.75" customHeight="1">
      <c r="A770" s="23"/>
      <c r="B770" s="23"/>
      <c r="C770" s="23"/>
      <c r="E770" s="23"/>
    </row>
    <row r="771" ht="15.75" customHeight="1">
      <c r="A771" s="23"/>
      <c r="B771" s="23"/>
      <c r="C771" s="23"/>
      <c r="E771" s="23"/>
    </row>
    <row r="772" ht="15.75" customHeight="1">
      <c r="A772" s="23"/>
      <c r="B772" s="23"/>
      <c r="C772" s="23"/>
      <c r="E772" s="23"/>
    </row>
    <row r="773" ht="15.75" customHeight="1">
      <c r="A773" s="23"/>
      <c r="B773" s="23"/>
      <c r="C773" s="23"/>
      <c r="E773" s="23"/>
    </row>
    <row r="774" ht="15.75" customHeight="1">
      <c r="A774" s="23"/>
      <c r="B774" s="23"/>
      <c r="C774" s="23"/>
      <c r="E774" s="23"/>
    </row>
    <row r="775" ht="15.75" customHeight="1">
      <c r="A775" s="23"/>
      <c r="B775" s="23"/>
      <c r="C775" s="23"/>
      <c r="E775" s="23"/>
    </row>
    <row r="776" ht="15.75" customHeight="1">
      <c r="A776" s="23"/>
      <c r="B776" s="23"/>
      <c r="C776" s="23"/>
      <c r="E776" s="23"/>
    </row>
    <row r="777" ht="15.75" customHeight="1">
      <c r="A777" s="23"/>
      <c r="B777" s="23"/>
      <c r="C777" s="23"/>
      <c r="E777" s="23"/>
    </row>
    <row r="778" ht="15.75" customHeight="1">
      <c r="A778" s="23"/>
      <c r="B778" s="23"/>
      <c r="C778" s="23"/>
      <c r="E778" s="23"/>
    </row>
    <row r="779" ht="15.75" customHeight="1">
      <c r="A779" s="23"/>
      <c r="B779" s="23"/>
      <c r="C779" s="23"/>
      <c r="E779" s="23"/>
    </row>
    <row r="780" ht="15.75" customHeight="1">
      <c r="A780" s="23"/>
      <c r="B780" s="23"/>
      <c r="C780" s="23"/>
      <c r="E780" s="23"/>
    </row>
    <row r="781" ht="15.75" customHeight="1">
      <c r="A781" s="23"/>
      <c r="B781" s="23"/>
      <c r="C781" s="23"/>
      <c r="E781" s="23"/>
    </row>
    <row r="782" ht="15.75" customHeight="1">
      <c r="A782" s="23"/>
      <c r="B782" s="23"/>
      <c r="C782" s="23"/>
      <c r="E782" s="23"/>
    </row>
    <row r="783" ht="15.75" customHeight="1">
      <c r="A783" s="23"/>
      <c r="B783" s="23"/>
      <c r="C783" s="23"/>
      <c r="E783" s="23"/>
    </row>
    <row r="784" ht="15.75" customHeight="1">
      <c r="A784" s="23"/>
      <c r="B784" s="23"/>
      <c r="C784" s="23"/>
      <c r="E784" s="23"/>
    </row>
    <row r="785" ht="15.75" customHeight="1">
      <c r="A785" s="23"/>
      <c r="B785" s="23"/>
      <c r="C785" s="23"/>
      <c r="E785" s="23"/>
    </row>
    <row r="786" ht="15.75" customHeight="1">
      <c r="A786" s="23"/>
      <c r="B786" s="23"/>
      <c r="C786" s="23"/>
      <c r="E786" s="23"/>
    </row>
    <row r="787" ht="15.75" customHeight="1">
      <c r="A787" s="23"/>
      <c r="B787" s="23"/>
      <c r="C787" s="23"/>
      <c r="E787" s="23"/>
    </row>
    <row r="788" ht="15.75" customHeight="1">
      <c r="A788" s="23"/>
      <c r="B788" s="23"/>
      <c r="C788" s="23"/>
      <c r="E788" s="23"/>
    </row>
    <row r="789" ht="15.75" customHeight="1">
      <c r="A789" s="23"/>
      <c r="B789" s="23"/>
      <c r="C789" s="23"/>
      <c r="E789" s="23"/>
    </row>
    <row r="790" ht="15.75" customHeight="1">
      <c r="A790" s="23"/>
      <c r="B790" s="23"/>
      <c r="C790" s="23"/>
      <c r="E790" s="23"/>
    </row>
    <row r="791" ht="15.75" customHeight="1">
      <c r="A791" s="23"/>
      <c r="B791" s="23"/>
      <c r="C791" s="23"/>
      <c r="E791" s="23"/>
    </row>
    <row r="792" ht="15.75" customHeight="1">
      <c r="A792" s="23"/>
      <c r="B792" s="23"/>
      <c r="C792" s="23"/>
      <c r="E792" s="23"/>
    </row>
    <row r="793" ht="15.75" customHeight="1">
      <c r="A793" s="23"/>
      <c r="B793" s="23"/>
      <c r="C793" s="23"/>
      <c r="E793" s="23"/>
    </row>
    <row r="794" ht="15.75" customHeight="1">
      <c r="A794" s="23"/>
      <c r="B794" s="23"/>
      <c r="C794" s="23"/>
      <c r="E794" s="23"/>
    </row>
    <row r="795" ht="15.75" customHeight="1">
      <c r="A795" s="23"/>
      <c r="B795" s="23"/>
      <c r="C795" s="23"/>
      <c r="E795" s="23"/>
    </row>
    <row r="796" ht="15.75" customHeight="1">
      <c r="A796" s="23"/>
      <c r="B796" s="23"/>
      <c r="C796" s="23"/>
      <c r="E796" s="23"/>
    </row>
    <row r="797" ht="15.75" customHeight="1">
      <c r="A797" s="23"/>
      <c r="B797" s="23"/>
      <c r="C797" s="23"/>
      <c r="E797" s="23"/>
    </row>
    <row r="798" ht="15.75" customHeight="1">
      <c r="A798" s="23"/>
      <c r="B798" s="23"/>
      <c r="C798" s="23"/>
      <c r="E798" s="23"/>
    </row>
    <row r="799" ht="15.75" customHeight="1">
      <c r="A799" s="23"/>
      <c r="B799" s="23"/>
      <c r="C799" s="23"/>
      <c r="E799" s="23"/>
    </row>
    <row r="800" ht="15.75" customHeight="1">
      <c r="A800" s="23"/>
      <c r="B800" s="23"/>
      <c r="C800" s="23"/>
      <c r="E800" s="23"/>
    </row>
    <row r="801" ht="15.75" customHeight="1">
      <c r="A801" s="23"/>
      <c r="B801" s="23"/>
      <c r="C801" s="23"/>
      <c r="E801" s="23"/>
    </row>
    <row r="802" ht="15.75" customHeight="1">
      <c r="A802" s="23"/>
      <c r="B802" s="23"/>
      <c r="C802" s="23"/>
      <c r="E802" s="23"/>
    </row>
    <row r="803" ht="15.75" customHeight="1">
      <c r="A803" s="23"/>
      <c r="B803" s="23"/>
      <c r="C803" s="23"/>
      <c r="E803" s="23"/>
    </row>
    <row r="804" ht="15.75" customHeight="1">
      <c r="A804" s="23"/>
      <c r="B804" s="23"/>
      <c r="C804" s="23"/>
      <c r="E804" s="23"/>
    </row>
    <row r="805" ht="15.75" customHeight="1">
      <c r="A805" s="23"/>
      <c r="B805" s="23"/>
      <c r="C805" s="23"/>
      <c r="E805" s="23"/>
    </row>
    <row r="806" ht="15.75" customHeight="1">
      <c r="A806" s="23"/>
      <c r="B806" s="23"/>
      <c r="C806" s="23"/>
      <c r="E806" s="23"/>
    </row>
    <row r="807" ht="15.75" customHeight="1">
      <c r="A807" s="23"/>
      <c r="B807" s="23"/>
      <c r="C807" s="23"/>
      <c r="E807" s="23"/>
    </row>
    <row r="808" ht="15.75" customHeight="1">
      <c r="A808" s="23"/>
      <c r="B808" s="23"/>
      <c r="C808" s="23"/>
      <c r="E808" s="23"/>
    </row>
    <row r="809" ht="15.75" customHeight="1">
      <c r="A809" s="23"/>
      <c r="B809" s="23"/>
      <c r="C809" s="23"/>
      <c r="E809" s="23"/>
    </row>
    <row r="810" ht="15.75" customHeight="1">
      <c r="A810" s="23"/>
      <c r="B810" s="23"/>
      <c r="C810" s="23"/>
      <c r="E810" s="23"/>
    </row>
    <row r="811" ht="15.75" customHeight="1">
      <c r="A811" s="23"/>
      <c r="B811" s="23"/>
      <c r="C811" s="23"/>
      <c r="E811" s="23"/>
    </row>
    <row r="812" ht="15.75" customHeight="1">
      <c r="A812" s="23"/>
      <c r="B812" s="23"/>
      <c r="C812" s="23"/>
      <c r="E812" s="23"/>
    </row>
    <row r="813" ht="15.75" customHeight="1">
      <c r="A813" s="23"/>
      <c r="B813" s="23"/>
      <c r="C813" s="23"/>
      <c r="E813" s="23"/>
    </row>
    <row r="814" ht="15.75" customHeight="1">
      <c r="A814" s="23"/>
      <c r="B814" s="23"/>
      <c r="C814" s="23"/>
      <c r="E814" s="23"/>
    </row>
    <row r="815" ht="15.75" customHeight="1">
      <c r="A815" s="23"/>
      <c r="B815" s="23"/>
      <c r="C815" s="23"/>
      <c r="E815" s="23"/>
    </row>
    <row r="816" ht="15.75" customHeight="1">
      <c r="A816" s="23"/>
      <c r="B816" s="23"/>
      <c r="C816" s="23"/>
      <c r="E816" s="23"/>
    </row>
    <row r="817" ht="15.75" customHeight="1">
      <c r="A817" s="23"/>
      <c r="B817" s="23"/>
      <c r="C817" s="23"/>
      <c r="E817" s="23"/>
    </row>
    <row r="818" ht="15.75" customHeight="1">
      <c r="A818" s="23"/>
      <c r="B818" s="23"/>
      <c r="C818" s="23"/>
      <c r="E818" s="23"/>
    </row>
    <row r="819" ht="15.75" customHeight="1">
      <c r="A819" s="23"/>
      <c r="B819" s="23"/>
      <c r="C819" s="23"/>
      <c r="E819" s="23"/>
    </row>
    <row r="820" ht="15.75" customHeight="1">
      <c r="A820" s="23"/>
      <c r="B820" s="23"/>
      <c r="C820" s="23"/>
      <c r="E820" s="23"/>
    </row>
    <row r="821" ht="15.75" customHeight="1">
      <c r="A821" s="23"/>
      <c r="B821" s="23"/>
      <c r="C821" s="23"/>
      <c r="E821" s="23"/>
    </row>
    <row r="822" ht="15.75" customHeight="1">
      <c r="A822" s="23"/>
      <c r="B822" s="23"/>
      <c r="C822" s="23"/>
      <c r="E822" s="23"/>
    </row>
    <row r="823" ht="15.75" customHeight="1">
      <c r="A823" s="23"/>
      <c r="B823" s="23"/>
      <c r="C823" s="23"/>
      <c r="E823" s="23"/>
    </row>
    <row r="824" ht="15.75" customHeight="1">
      <c r="A824" s="23"/>
      <c r="B824" s="23"/>
      <c r="C824" s="23"/>
      <c r="E824" s="23"/>
    </row>
    <row r="825" ht="15.75" customHeight="1">
      <c r="A825" s="23"/>
      <c r="B825" s="23"/>
      <c r="C825" s="23"/>
      <c r="E825" s="23"/>
    </row>
    <row r="826" ht="15.75" customHeight="1">
      <c r="A826" s="23"/>
      <c r="B826" s="23"/>
      <c r="C826" s="23"/>
      <c r="E826" s="23"/>
    </row>
    <row r="827" ht="15.75" customHeight="1">
      <c r="A827" s="23"/>
      <c r="B827" s="23"/>
      <c r="C827" s="23"/>
      <c r="E827" s="23"/>
    </row>
    <row r="828" ht="15.75" customHeight="1">
      <c r="A828" s="23"/>
      <c r="B828" s="23"/>
      <c r="C828" s="23"/>
      <c r="E828" s="23"/>
    </row>
    <row r="829" ht="15.75" customHeight="1">
      <c r="A829" s="23"/>
      <c r="B829" s="23"/>
      <c r="C829" s="23"/>
      <c r="E829" s="23"/>
    </row>
    <row r="830" ht="15.75" customHeight="1">
      <c r="A830" s="23"/>
      <c r="B830" s="23"/>
      <c r="C830" s="23"/>
      <c r="E830" s="23"/>
    </row>
    <row r="831" ht="15.75" customHeight="1">
      <c r="A831" s="23"/>
      <c r="B831" s="23"/>
      <c r="C831" s="23"/>
      <c r="E831" s="23"/>
    </row>
    <row r="832" ht="15.75" customHeight="1">
      <c r="A832" s="23"/>
      <c r="B832" s="23"/>
      <c r="C832" s="23"/>
      <c r="E832" s="23"/>
    </row>
    <row r="833" ht="15.75" customHeight="1">
      <c r="A833" s="23"/>
      <c r="B833" s="23"/>
      <c r="C833" s="23"/>
      <c r="E833" s="23"/>
    </row>
    <row r="834" ht="15.75" customHeight="1">
      <c r="A834" s="23"/>
      <c r="B834" s="23"/>
      <c r="C834" s="23"/>
      <c r="E834" s="23"/>
    </row>
    <row r="835" ht="15.75" customHeight="1">
      <c r="A835" s="23"/>
      <c r="B835" s="23"/>
      <c r="C835" s="23"/>
      <c r="E835" s="23"/>
    </row>
    <row r="836" ht="15.75" customHeight="1">
      <c r="A836" s="23"/>
      <c r="B836" s="23"/>
      <c r="C836" s="23"/>
      <c r="E836" s="23"/>
    </row>
    <row r="837" ht="15.75" customHeight="1">
      <c r="A837" s="23"/>
      <c r="B837" s="23"/>
      <c r="C837" s="23"/>
      <c r="E837" s="23"/>
    </row>
    <row r="838" ht="15.75" customHeight="1">
      <c r="A838" s="23"/>
      <c r="B838" s="23"/>
      <c r="C838" s="23"/>
      <c r="E838" s="23"/>
    </row>
    <row r="839" ht="15.75" customHeight="1">
      <c r="A839" s="23"/>
      <c r="B839" s="23"/>
      <c r="C839" s="23"/>
      <c r="E839" s="23"/>
    </row>
    <row r="840" ht="15.75" customHeight="1">
      <c r="A840" s="23"/>
      <c r="B840" s="23"/>
      <c r="C840" s="23"/>
      <c r="E840" s="23"/>
    </row>
    <row r="841" ht="15.75" customHeight="1">
      <c r="A841" s="23"/>
      <c r="B841" s="23"/>
      <c r="C841" s="23"/>
      <c r="E841" s="23"/>
    </row>
    <row r="842" ht="15.75" customHeight="1">
      <c r="A842" s="23"/>
      <c r="B842" s="23"/>
      <c r="C842" s="23"/>
      <c r="E842" s="23"/>
    </row>
    <row r="843" ht="15.75" customHeight="1">
      <c r="A843" s="23"/>
      <c r="B843" s="23"/>
      <c r="C843" s="23"/>
      <c r="E843" s="23"/>
    </row>
    <row r="844" ht="15.75" customHeight="1">
      <c r="A844" s="23"/>
      <c r="B844" s="23"/>
      <c r="C844" s="23"/>
      <c r="E844" s="23"/>
    </row>
    <row r="845" ht="15.75" customHeight="1">
      <c r="A845" s="23"/>
      <c r="B845" s="23"/>
      <c r="C845" s="23"/>
      <c r="E845" s="23"/>
    </row>
    <row r="846" ht="15.75" customHeight="1">
      <c r="A846" s="23"/>
      <c r="B846" s="23"/>
      <c r="C846" s="23"/>
      <c r="E846" s="23"/>
    </row>
    <row r="847" ht="15.75" customHeight="1">
      <c r="A847" s="23"/>
      <c r="B847" s="23"/>
      <c r="C847" s="23"/>
      <c r="E847" s="23"/>
    </row>
    <row r="848" ht="15.75" customHeight="1">
      <c r="A848" s="23"/>
      <c r="B848" s="23"/>
      <c r="C848" s="23"/>
      <c r="E848" s="23"/>
    </row>
    <row r="849" ht="15.75" customHeight="1">
      <c r="A849" s="23"/>
      <c r="B849" s="23"/>
      <c r="C849" s="23"/>
      <c r="E849" s="23"/>
    </row>
    <row r="850" ht="15.75" customHeight="1">
      <c r="A850" s="23"/>
      <c r="B850" s="23"/>
      <c r="C850" s="23"/>
      <c r="E850" s="23"/>
    </row>
    <row r="851" ht="15.75" customHeight="1">
      <c r="A851" s="23"/>
      <c r="B851" s="23"/>
      <c r="C851" s="23"/>
      <c r="E851" s="23"/>
    </row>
    <row r="852" ht="15.75" customHeight="1">
      <c r="A852" s="23"/>
      <c r="B852" s="23"/>
      <c r="C852" s="23"/>
      <c r="E852" s="23"/>
    </row>
    <row r="853" ht="15.75" customHeight="1">
      <c r="A853" s="23"/>
      <c r="B853" s="23"/>
      <c r="C853" s="23"/>
      <c r="E853" s="23"/>
    </row>
    <row r="854" ht="15.75" customHeight="1">
      <c r="A854" s="23"/>
      <c r="B854" s="23"/>
      <c r="C854" s="23"/>
      <c r="E854" s="23"/>
    </row>
    <row r="855" ht="15.75" customHeight="1">
      <c r="A855" s="23"/>
      <c r="B855" s="23"/>
      <c r="C855" s="23"/>
      <c r="E855" s="23"/>
    </row>
    <row r="856" ht="15.75" customHeight="1">
      <c r="A856" s="23"/>
      <c r="B856" s="23"/>
      <c r="C856" s="23"/>
      <c r="E856" s="23"/>
    </row>
    <row r="857" ht="15.75" customHeight="1">
      <c r="A857" s="23"/>
      <c r="B857" s="23"/>
      <c r="C857" s="23"/>
      <c r="E857" s="23"/>
    </row>
    <row r="858" ht="15.75" customHeight="1">
      <c r="A858" s="23"/>
      <c r="B858" s="23"/>
      <c r="C858" s="23"/>
      <c r="E858" s="23"/>
    </row>
    <row r="859" ht="15.75" customHeight="1">
      <c r="A859" s="23"/>
      <c r="B859" s="23"/>
      <c r="C859" s="23"/>
      <c r="E859" s="23"/>
    </row>
    <row r="860" ht="15.75" customHeight="1">
      <c r="A860" s="23"/>
      <c r="B860" s="23"/>
      <c r="C860" s="23"/>
      <c r="E860" s="23"/>
    </row>
    <row r="861" ht="15.75" customHeight="1">
      <c r="A861" s="23"/>
      <c r="B861" s="23"/>
      <c r="C861" s="23"/>
      <c r="E861" s="23"/>
    </row>
    <row r="862" ht="15.75" customHeight="1">
      <c r="A862" s="23"/>
      <c r="B862" s="23"/>
      <c r="C862" s="23"/>
      <c r="E862" s="23"/>
    </row>
    <row r="863" ht="15.75" customHeight="1">
      <c r="A863" s="23"/>
      <c r="B863" s="23"/>
      <c r="C863" s="23"/>
      <c r="E863" s="23"/>
    </row>
    <row r="864" ht="15.75" customHeight="1">
      <c r="A864" s="23"/>
      <c r="B864" s="23"/>
      <c r="C864" s="23"/>
      <c r="E864" s="23"/>
    </row>
    <row r="865" ht="15.75" customHeight="1">
      <c r="A865" s="23"/>
      <c r="B865" s="23"/>
      <c r="C865" s="23"/>
      <c r="E865" s="23"/>
    </row>
    <row r="866" ht="15.75" customHeight="1">
      <c r="A866" s="23"/>
      <c r="B866" s="23"/>
      <c r="C866" s="23"/>
      <c r="E866" s="23"/>
    </row>
    <row r="867" ht="15.75" customHeight="1">
      <c r="A867" s="23"/>
      <c r="B867" s="23"/>
      <c r="C867" s="23"/>
      <c r="E867" s="23"/>
    </row>
    <row r="868" ht="15.75" customHeight="1">
      <c r="A868" s="23"/>
      <c r="B868" s="23"/>
      <c r="C868" s="23"/>
      <c r="E868" s="23"/>
    </row>
    <row r="869" ht="15.75" customHeight="1">
      <c r="A869" s="23"/>
      <c r="B869" s="23"/>
      <c r="C869" s="23"/>
      <c r="E869" s="23"/>
    </row>
    <row r="870" ht="15.75" customHeight="1">
      <c r="A870" s="23"/>
      <c r="B870" s="23"/>
      <c r="C870" s="23"/>
      <c r="E870" s="23"/>
    </row>
    <row r="871" ht="15.75" customHeight="1">
      <c r="A871" s="23"/>
      <c r="B871" s="23"/>
      <c r="C871" s="23"/>
      <c r="E871" s="23"/>
    </row>
    <row r="872" ht="15.75" customHeight="1">
      <c r="A872" s="23"/>
      <c r="B872" s="23"/>
      <c r="C872" s="23"/>
      <c r="E872" s="23"/>
    </row>
    <row r="873" ht="15.75" customHeight="1">
      <c r="A873" s="23"/>
      <c r="B873" s="23"/>
      <c r="C873" s="23"/>
      <c r="E873" s="23"/>
    </row>
    <row r="874" ht="15.75" customHeight="1">
      <c r="A874" s="23"/>
      <c r="B874" s="23"/>
      <c r="C874" s="23"/>
      <c r="E874" s="23"/>
    </row>
    <row r="875" ht="15.75" customHeight="1">
      <c r="A875" s="23"/>
      <c r="B875" s="23"/>
      <c r="C875" s="23"/>
      <c r="E875" s="23"/>
    </row>
    <row r="876" ht="15.75" customHeight="1">
      <c r="A876" s="23"/>
      <c r="B876" s="23"/>
      <c r="C876" s="23"/>
      <c r="E876" s="23"/>
    </row>
    <row r="877" ht="15.75" customHeight="1">
      <c r="A877" s="23"/>
      <c r="B877" s="23"/>
      <c r="C877" s="23"/>
      <c r="E877" s="23"/>
    </row>
    <row r="878" ht="15.75" customHeight="1">
      <c r="A878" s="23"/>
      <c r="B878" s="23"/>
      <c r="C878" s="23"/>
      <c r="E878" s="23"/>
    </row>
    <row r="879" ht="15.75" customHeight="1">
      <c r="A879" s="23"/>
      <c r="B879" s="23"/>
      <c r="C879" s="23"/>
      <c r="E879" s="23"/>
    </row>
    <row r="880" ht="15.75" customHeight="1">
      <c r="A880" s="23"/>
      <c r="B880" s="23"/>
      <c r="C880" s="23"/>
      <c r="E880" s="23"/>
    </row>
    <row r="881" ht="15.75" customHeight="1">
      <c r="A881" s="23"/>
      <c r="B881" s="23"/>
      <c r="C881" s="23"/>
      <c r="E881" s="23"/>
    </row>
    <row r="882" ht="15.75" customHeight="1">
      <c r="A882" s="23"/>
      <c r="B882" s="23"/>
      <c r="C882" s="23"/>
      <c r="E882" s="23"/>
    </row>
    <row r="883" ht="15.75" customHeight="1">
      <c r="A883" s="23"/>
      <c r="B883" s="23"/>
      <c r="C883" s="23"/>
      <c r="E883" s="23"/>
    </row>
    <row r="884" ht="15.75" customHeight="1">
      <c r="A884" s="23"/>
      <c r="B884" s="23"/>
      <c r="C884" s="23"/>
      <c r="E884" s="23"/>
    </row>
    <row r="885" ht="15.75" customHeight="1">
      <c r="A885" s="23"/>
      <c r="B885" s="23"/>
      <c r="C885" s="23"/>
      <c r="E885" s="23"/>
    </row>
    <row r="886" ht="15.75" customHeight="1">
      <c r="A886" s="23"/>
      <c r="B886" s="23"/>
      <c r="C886" s="23"/>
      <c r="E886" s="23"/>
    </row>
    <row r="887" ht="15.75" customHeight="1">
      <c r="A887" s="23"/>
      <c r="B887" s="23"/>
      <c r="C887" s="23"/>
      <c r="E887" s="23"/>
    </row>
    <row r="888" ht="15.75" customHeight="1">
      <c r="A888" s="23"/>
      <c r="B888" s="23"/>
      <c r="C888" s="23"/>
      <c r="E888" s="23"/>
    </row>
    <row r="889" ht="15.75" customHeight="1">
      <c r="A889" s="23"/>
      <c r="B889" s="23"/>
      <c r="C889" s="23"/>
      <c r="E889" s="23"/>
    </row>
    <row r="890" ht="15.75" customHeight="1">
      <c r="A890" s="23"/>
      <c r="B890" s="23"/>
      <c r="C890" s="23"/>
      <c r="E890" s="23"/>
    </row>
    <row r="891" ht="15.75" customHeight="1">
      <c r="A891" s="23"/>
      <c r="B891" s="23"/>
      <c r="C891" s="23"/>
      <c r="E891" s="23"/>
    </row>
    <row r="892" ht="15.75" customHeight="1">
      <c r="A892" s="23"/>
      <c r="B892" s="23"/>
      <c r="C892" s="23"/>
      <c r="E892" s="23"/>
    </row>
    <row r="893" ht="15.75" customHeight="1">
      <c r="A893" s="23"/>
      <c r="B893" s="23"/>
      <c r="C893" s="23"/>
      <c r="E893" s="23"/>
    </row>
    <row r="894" ht="15.75" customHeight="1">
      <c r="A894" s="23"/>
      <c r="B894" s="23"/>
      <c r="C894" s="23"/>
      <c r="E894" s="23"/>
    </row>
    <row r="895" ht="15.75" customHeight="1">
      <c r="A895" s="23"/>
      <c r="B895" s="23"/>
      <c r="C895" s="23"/>
      <c r="E895" s="23"/>
    </row>
    <row r="896" ht="15.75" customHeight="1">
      <c r="A896" s="23"/>
      <c r="B896" s="23"/>
      <c r="C896" s="23"/>
      <c r="E896" s="23"/>
    </row>
    <row r="897" ht="15.75" customHeight="1">
      <c r="A897" s="23"/>
      <c r="B897" s="23"/>
      <c r="C897" s="23"/>
      <c r="E897" s="23"/>
    </row>
    <row r="898" ht="15.75" customHeight="1">
      <c r="A898" s="23"/>
      <c r="B898" s="23"/>
      <c r="C898" s="23"/>
      <c r="E898" s="23"/>
    </row>
    <row r="899" ht="15.75" customHeight="1">
      <c r="A899" s="23"/>
      <c r="B899" s="23"/>
      <c r="C899" s="23"/>
      <c r="E899" s="23"/>
    </row>
    <row r="900" ht="15.75" customHeight="1">
      <c r="A900" s="23"/>
      <c r="B900" s="23"/>
      <c r="C900" s="23"/>
      <c r="E900" s="23"/>
    </row>
    <row r="901" ht="15.75" customHeight="1">
      <c r="A901" s="23"/>
      <c r="B901" s="23"/>
      <c r="C901" s="23"/>
      <c r="E901" s="23"/>
    </row>
    <row r="902" ht="15.75" customHeight="1">
      <c r="A902" s="23"/>
      <c r="B902" s="23"/>
      <c r="C902" s="23"/>
      <c r="E902" s="23"/>
    </row>
    <row r="903" ht="15.75" customHeight="1">
      <c r="A903" s="23"/>
      <c r="B903" s="23"/>
      <c r="C903" s="23"/>
      <c r="E903" s="23"/>
    </row>
    <row r="904" ht="15.75" customHeight="1">
      <c r="A904" s="23"/>
      <c r="B904" s="23"/>
      <c r="C904" s="23"/>
      <c r="E904" s="23"/>
    </row>
    <row r="905" ht="15.75" customHeight="1">
      <c r="A905" s="23"/>
      <c r="B905" s="23"/>
      <c r="C905" s="23"/>
      <c r="E905" s="23"/>
    </row>
    <row r="906" ht="15.75" customHeight="1">
      <c r="A906" s="23"/>
      <c r="B906" s="23"/>
      <c r="C906" s="23"/>
      <c r="E906" s="23"/>
    </row>
    <row r="907" ht="15.75" customHeight="1">
      <c r="A907" s="23"/>
      <c r="B907" s="23"/>
      <c r="C907" s="23"/>
      <c r="E907" s="23"/>
    </row>
    <row r="908" ht="15.75" customHeight="1">
      <c r="A908" s="23"/>
      <c r="B908" s="23"/>
      <c r="C908" s="23"/>
      <c r="E908" s="23"/>
    </row>
    <row r="909" ht="15.75" customHeight="1">
      <c r="A909" s="23"/>
      <c r="B909" s="23"/>
      <c r="C909" s="23"/>
      <c r="E909" s="23"/>
    </row>
    <row r="910" ht="15.75" customHeight="1">
      <c r="A910" s="23"/>
      <c r="B910" s="23"/>
      <c r="C910" s="23"/>
      <c r="E910" s="23"/>
    </row>
    <row r="911" ht="15.75" customHeight="1">
      <c r="A911" s="23"/>
      <c r="B911" s="23"/>
      <c r="C911" s="23"/>
      <c r="E911" s="23"/>
    </row>
    <row r="912" ht="15.75" customHeight="1">
      <c r="A912" s="23"/>
      <c r="B912" s="23"/>
      <c r="C912" s="23"/>
      <c r="E912" s="23"/>
    </row>
    <row r="913" ht="15.75" customHeight="1">
      <c r="A913" s="23"/>
      <c r="B913" s="23"/>
      <c r="C913" s="23"/>
      <c r="E913" s="23"/>
    </row>
    <row r="914" ht="15.75" customHeight="1">
      <c r="A914" s="23"/>
      <c r="B914" s="23"/>
      <c r="C914" s="23"/>
      <c r="E914" s="23"/>
    </row>
    <row r="915" ht="15.75" customHeight="1">
      <c r="A915" s="23"/>
      <c r="B915" s="23"/>
      <c r="C915" s="23"/>
      <c r="E915" s="23"/>
    </row>
    <row r="916" ht="15.75" customHeight="1">
      <c r="A916" s="23"/>
      <c r="B916" s="23"/>
      <c r="C916" s="23"/>
      <c r="E916" s="23"/>
    </row>
    <row r="917" ht="15.75" customHeight="1">
      <c r="A917" s="23"/>
      <c r="B917" s="23"/>
      <c r="C917" s="23"/>
      <c r="E917" s="23"/>
    </row>
    <row r="918" ht="15.75" customHeight="1">
      <c r="A918" s="23"/>
      <c r="B918" s="23"/>
      <c r="C918" s="23"/>
      <c r="E918" s="23"/>
    </row>
    <row r="919" ht="15.75" customHeight="1">
      <c r="A919" s="23"/>
      <c r="B919" s="23"/>
      <c r="C919" s="23"/>
      <c r="E919" s="23"/>
    </row>
    <row r="920" ht="15.75" customHeight="1">
      <c r="A920" s="23"/>
      <c r="B920" s="23"/>
      <c r="C920" s="23"/>
      <c r="E920" s="23"/>
    </row>
    <row r="921" ht="15.75" customHeight="1">
      <c r="A921" s="23"/>
      <c r="B921" s="23"/>
      <c r="C921" s="23"/>
      <c r="E921" s="23"/>
    </row>
    <row r="922" ht="15.75" customHeight="1">
      <c r="A922" s="23"/>
      <c r="B922" s="23"/>
      <c r="C922" s="23"/>
      <c r="E922" s="23"/>
    </row>
    <row r="923" ht="15.75" customHeight="1">
      <c r="A923" s="23"/>
      <c r="B923" s="23"/>
      <c r="C923" s="23"/>
      <c r="E923" s="23"/>
    </row>
    <row r="924" ht="15.75" customHeight="1">
      <c r="A924" s="23"/>
      <c r="B924" s="23"/>
      <c r="C924" s="23"/>
      <c r="E924" s="23"/>
    </row>
    <row r="925" ht="15.75" customHeight="1">
      <c r="A925" s="23"/>
      <c r="B925" s="23"/>
      <c r="C925" s="23"/>
      <c r="E925" s="23"/>
    </row>
    <row r="926" ht="15.75" customHeight="1">
      <c r="A926" s="23"/>
      <c r="B926" s="23"/>
      <c r="C926" s="23"/>
      <c r="E926" s="23"/>
    </row>
    <row r="927" ht="15.75" customHeight="1">
      <c r="A927" s="23"/>
      <c r="B927" s="23"/>
      <c r="C927" s="23"/>
      <c r="E927" s="23"/>
    </row>
    <row r="928" ht="15.75" customHeight="1">
      <c r="A928" s="23"/>
      <c r="B928" s="23"/>
      <c r="C928" s="23"/>
      <c r="E928" s="23"/>
    </row>
    <row r="929" ht="15.75" customHeight="1">
      <c r="A929" s="23"/>
      <c r="B929" s="23"/>
      <c r="C929" s="23"/>
      <c r="E929" s="23"/>
    </row>
    <row r="930" ht="15.75" customHeight="1">
      <c r="A930" s="23"/>
      <c r="B930" s="23"/>
      <c r="C930" s="23"/>
      <c r="E930" s="23"/>
    </row>
    <row r="931" ht="15.75" customHeight="1">
      <c r="A931" s="23"/>
      <c r="B931" s="23"/>
      <c r="C931" s="23"/>
      <c r="E931" s="23"/>
    </row>
    <row r="932" ht="15.75" customHeight="1">
      <c r="A932" s="23"/>
      <c r="B932" s="23"/>
      <c r="C932" s="23"/>
      <c r="E932" s="23"/>
    </row>
    <row r="933" ht="15.75" customHeight="1">
      <c r="A933" s="23"/>
      <c r="B933" s="23"/>
      <c r="C933" s="23"/>
      <c r="E933" s="23"/>
    </row>
    <row r="934" ht="15.75" customHeight="1">
      <c r="A934" s="23"/>
      <c r="B934" s="23"/>
      <c r="C934" s="23"/>
      <c r="E934" s="23"/>
    </row>
    <row r="935" ht="15.75" customHeight="1">
      <c r="A935" s="23"/>
      <c r="B935" s="23"/>
      <c r="C935" s="23"/>
      <c r="E935" s="23"/>
    </row>
    <row r="936" ht="15.75" customHeight="1">
      <c r="A936" s="23"/>
      <c r="B936" s="23"/>
      <c r="C936" s="23"/>
      <c r="E936" s="23"/>
    </row>
    <row r="937" ht="15.75" customHeight="1">
      <c r="A937" s="23"/>
      <c r="B937" s="23"/>
      <c r="C937" s="23"/>
      <c r="E937" s="23"/>
    </row>
    <row r="938" ht="15.75" customHeight="1">
      <c r="A938" s="23"/>
      <c r="B938" s="23"/>
      <c r="C938" s="23"/>
      <c r="E938" s="23"/>
    </row>
    <row r="939" ht="15.75" customHeight="1">
      <c r="A939" s="23"/>
      <c r="B939" s="23"/>
      <c r="C939" s="23"/>
      <c r="E939" s="23"/>
    </row>
    <row r="940" ht="15.75" customHeight="1">
      <c r="A940" s="23"/>
      <c r="B940" s="23"/>
      <c r="C940" s="23"/>
      <c r="E940" s="23"/>
    </row>
    <row r="941" ht="15.75" customHeight="1">
      <c r="A941" s="23"/>
      <c r="B941" s="23"/>
      <c r="C941" s="23"/>
      <c r="E941" s="23"/>
    </row>
    <row r="942" ht="15.75" customHeight="1">
      <c r="A942" s="23"/>
      <c r="B942" s="23"/>
      <c r="C942" s="23"/>
      <c r="E942" s="23"/>
    </row>
    <row r="943" ht="15.75" customHeight="1">
      <c r="A943" s="23"/>
      <c r="B943" s="23"/>
      <c r="C943" s="23"/>
      <c r="E943" s="23"/>
    </row>
    <row r="944" ht="15.75" customHeight="1">
      <c r="A944" s="23"/>
      <c r="B944" s="23"/>
      <c r="C944" s="23"/>
      <c r="E944" s="23"/>
    </row>
    <row r="945" ht="15.75" customHeight="1">
      <c r="A945" s="23"/>
      <c r="B945" s="23"/>
      <c r="C945" s="23"/>
      <c r="E945" s="23"/>
    </row>
    <row r="946" ht="15.75" customHeight="1">
      <c r="A946" s="23"/>
      <c r="B946" s="23"/>
      <c r="C946" s="23"/>
      <c r="E946" s="23"/>
    </row>
    <row r="947" ht="15.75" customHeight="1">
      <c r="A947" s="23"/>
      <c r="B947" s="23"/>
      <c r="C947" s="23"/>
      <c r="E947" s="23"/>
    </row>
    <row r="948" ht="15.75" customHeight="1">
      <c r="A948" s="23"/>
      <c r="B948" s="23"/>
      <c r="C948" s="23"/>
      <c r="E948" s="23"/>
    </row>
    <row r="949" ht="15.75" customHeight="1">
      <c r="A949" s="23"/>
      <c r="B949" s="23"/>
      <c r="C949" s="23"/>
      <c r="E949" s="23"/>
    </row>
    <row r="950" ht="15.75" customHeight="1">
      <c r="A950" s="23"/>
      <c r="B950" s="23"/>
      <c r="C950" s="23"/>
      <c r="E950" s="23"/>
    </row>
    <row r="951" ht="15.75" customHeight="1">
      <c r="A951" s="23"/>
      <c r="B951" s="23"/>
      <c r="C951" s="23"/>
      <c r="E951" s="23"/>
    </row>
    <row r="952" ht="15.75" customHeight="1">
      <c r="A952" s="23"/>
      <c r="B952" s="23"/>
      <c r="C952" s="23"/>
      <c r="E952" s="23"/>
    </row>
    <row r="953" ht="15.75" customHeight="1">
      <c r="A953" s="23"/>
      <c r="B953" s="23"/>
      <c r="C953" s="23"/>
      <c r="E953" s="23"/>
    </row>
    <row r="954" ht="15.75" customHeight="1">
      <c r="A954" s="23"/>
      <c r="B954" s="23"/>
      <c r="C954" s="23"/>
      <c r="E954" s="23"/>
    </row>
    <row r="955" ht="15.75" customHeight="1">
      <c r="A955" s="23"/>
      <c r="B955" s="23"/>
      <c r="C955" s="23"/>
      <c r="E955" s="23"/>
    </row>
    <row r="956" ht="15.75" customHeight="1">
      <c r="A956" s="23"/>
      <c r="B956" s="23"/>
      <c r="C956" s="23"/>
      <c r="E956" s="23"/>
    </row>
    <row r="957" ht="15.75" customHeight="1">
      <c r="A957" s="23"/>
      <c r="B957" s="23"/>
      <c r="C957" s="23"/>
      <c r="E957" s="23"/>
    </row>
    <row r="958" ht="15.75" customHeight="1">
      <c r="A958" s="23"/>
      <c r="B958" s="23"/>
      <c r="C958" s="23"/>
      <c r="E958" s="23"/>
    </row>
    <row r="959" ht="15.75" customHeight="1">
      <c r="A959" s="23"/>
      <c r="B959" s="23"/>
      <c r="C959" s="23"/>
      <c r="E959" s="23"/>
    </row>
    <row r="960" ht="15.75" customHeight="1">
      <c r="A960" s="23"/>
      <c r="B960" s="23"/>
      <c r="C960" s="23"/>
      <c r="E960" s="23"/>
    </row>
    <row r="961" ht="15.75" customHeight="1">
      <c r="A961" s="23"/>
      <c r="B961" s="23"/>
      <c r="C961" s="23"/>
      <c r="E961" s="23"/>
    </row>
    <row r="962" ht="15.75" customHeight="1">
      <c r="A962" s="23"/>
      <c r="B962" s="23"/>
      <c r="C962" s="23"/>
      <c r="E962" s="23"/>
    </row>
    <row r="963" ht="15.75" customHeight="1">
      <c r="A963" s="23"/>
      <c r="B963" s="23"/>
      <c r="C963" s="23"/>
      <c r="E963" s="23"/>
    </row>
    <row r="964" ht="15.75" customHeight="1">
      <c r="A964" s="23"/>
      <c r="B964" s="23"/>
      <c r="C964" s="23"/>
      <c r="E964" s="23"/>
    </row>
    <row r="965" ht="15.75" customHeight="1">
      <c r="A965" s="23"/>
      <c r="B965" s="23"/>
      <c r="C965" s="23"/>
      <c r="E965" s="23"/>
    </row>
    <row r="966" ht="15.75" customHeight="1">
      <c r="A966" s="23"/>
      <c r="B966" s="23"/>
      <c r="C966" s="23"/>
      <c r="E966" s="23"/>
    </row>
    <row r="967" ht="15.75" customHeight="1">
      <c r="A967" s="23"/>
      <c r="B967" s="23"/>
      <c r="C967" s="23"/>
      <c r="E967" s="23"/>
    </row>
    <row r="968" ht="15.75" customHeight="1">
      <c r="A968" s="23"/>
      <c r="B968" s="23"/>
      <c r="C968" s="23"/>
      <c r="E968" s="23"/>
    </row>
    <row r="969" ht="15.75" customHeight="1">
      <c r="A969" s="23"/>
      <c r="B969" s="23"/>
      <c r="C969" s="23"/>
      <c r="E969" s="23"/>
    </row>
    <row r="970" ht="15.75" customHeight="1">
      <c r="A970" s="23"/>
      <c r="B970" s="23"/>
      <c r="C970" s="23"/>
      <c r="E970" s="23"/>
    </row>
    <row r="971" ht="15.75" customHeight="1">
      <c r="A971" s="23"/>
      <c r="B971" s="23"/>
      <c r="C971" s="23"/>
      <c r="E971" s="23"/>
    </row>
    <row r="972" ht="15.75" customHeight="1">
      <c r="A972" s="23"/>
      <c r="B972" s="23"/>
      <c r="C972" s="23"/>
      <c r="E972" s="23"/>
    </row>
    <row r="973" ht="15.75" customHeight="1">
      <c r="A973" s="23"/>
      <c r="B973" s="23"/>
      <c r="C973" s="23"/>
      <c r="E973" s="23"/>
    </row>
    <row r="974" ht="15.75" customHeight="1">
      <c r="A974" s="23"/>
      <c r="B974" s="23"/>
      <c r="C974" s="23"/>
      <c r="E974" s="23"/>
    </row>
    <row r="975" ht="15.75" customHeight="1">
      <c r="A975" s="23"/>
      <c r="B975" s="23"/>
      <c r="C975" s="23"/>
      <c r="E975" s="23"/>
    </row>
    <row r="976" ht="15.75" customHeight="1">
      <c r="A976" s="23"/>
      <c r="B976" s="23"/>
      <c r="C976" s="23"/>
      <c r="E976" s="23"/>
    </row>
    <row r="977" ht="15.75" customHeight="1">
      <c r="A977" s="23"/>
      <c r="B977" s="23"/>
      <c r="C977" s="23"/>
      <c r="E977" s="23"/>
    </row>
    <row r="978" ht="15.75" customHeight="1">
      <c r="A978" s="23"/>
      <c r="B978" s="23"/>
      <c r="C978" s="23"/>
      <c r="E978" s="23"/>
    </row>
    <row r="979" ht="15.75" customHeight="1">
      <c r="A979" s="23"/>
      <c r="B979" s="23"/>
      <c r="C979" s="23"/>
      <c r="E979" s="23"/>
    </row>
    <row r="980" ht="15.75" customHeight="1">
      <c r="A980" s="23"/>
      <c r="B980" s="23"/>
      <c r="C980" s="23"/>
      <c r="E980" s="23"/>
    </row>
    <row r="981" ht="15.75" customHeight="1">
      <c r="A981" s="23"/>
      <c r="B981" s="23"/>
      <c r="C981" s="23"/>
      <c r="E981" s="23"/>
    </row>
    <row r="982" ht="15.75" customHeight="1">
      <c r="A982" s="23"/>
      <c r="B982" s="23"/>
      <c r="C982" s="23"/>
      <c r="E982" s="23"/>
    </row>
    <row r="983" ht="15.75" customHeight="1">
      <c r="A983" s="23"/>
      <c r="B983" s="23"/>
      <c r="C983" s="23"/>
      <c r="E983" s="23"/>
    </row>
    <row r="984" ht="15.75" customHeight="1">
      <c r="A984" s="23"/>
      <c r="B984" s="23"/>
      <c r="C984" s="23"/>
      <c r="E984" s="23"/>
    </row>
    <row r="985" ht="15.75" customHeight="1">
      <c r="A985" s="23"/>
      <c r="B985" s="23"/>
      <c r="C985" s="23"/>
      <c r="E985" s="23"/>
    </row>
    <row r="986" ht="15.75" customHeight="1">
      <c r="A986" s="23"/>
      <c r="B986" s="23"/>
      <c r="C986" s="23"/>
      <c r="E986" s="23"/>
    </row>
    <row r="987" ht="15.75" customHeight="1">
      <c r="A987" s="23"/>
      <c r="B987" s="23"/>
      <c r="C987" s="23"/>
      <c r="E987" s="23"/>
    </row>
    <row r="988" ht="15.75" customHeight="1">
      <c r="A988" s="23"/>
      <c r="B988" s="23"/>
      <c r="C988" s="23"/>
      <c r="E988" s="23"/>
    </row>
    <row r="989" ht="15.75" customHeight="1">
      <c r="A989" s="23"/>
      <c r="B989" s="23"/>
      <c r="C989" s="23"/>
      <c r="E989" s="23"/>
    </row>
    <row r="990" ht="15.75" customHeight="1">
      <c r="A990" s="23"/>
      <c r="B990" s="23"/>
      <c r="C990" s="23"/>
      <c r="E990" s="23"/>
    </row>
    <row r="991" ht="15.75" customHeight="1">
      <c r="A991" s="23"/>
      <c r="B991" s="23"/>
      <c r="C991" s="23"/>
      <c r="E991" s="23"/>
    </row>
    <row r="992" ht="15.75" customHeight="1">
      <c r="A992" s="23"/>
      <c r="B992" s="23"/>
      <c r="C992" s="23"/>
      <c r="E992" s="23"/>
    </row>
    <row r="993" ht="15.75" customHeight="1">
      <c r="A993" s="23"/>
      <c r="B993" s="23"/>
      <c r="C993" s="23"/>
      <c r="E993" s="23"/>
    </row>
    <row r="994" ht="15.75" customHeight="1">
      <c r="A994" s="23"/>
      <c r="B994" s="23"/>
      <c r="C994" s="23"/>
      <c r="E994" s="23"/>
    </row>
    <row r="995" ht="15.75" customHeight="1">
      <c r="A995" s="23"/>
      <c r="B995" s="23"/>
      <c r="C995" s="23"/>
      <c r="E995" s="23"/>
    </row>
    <row r="996" ht="15.75" customHeight="1">
      <c r="A996" s="23"/>
      <c r="B996" s="23"/>
      <c r="C996" s="23"/>
      <c r="E996" s="23"/>
    </row>
    <row r="997" ht="15.75" customHeight="1">
      <c r="A997" s="23"/>
      <c r="B997" s="23"/>
      <c r="C997" s="23"/>
      <c r="E997" s="23"/>
    </row>
    <row r="998" ht="15.75" customHeight="1">
      <c r="A998" s="23"/>
      <c r="B998" s="23"/>
      <c r="C998" s="23"/>
      <c r="E998" s="23"/>
    </row>
    <row r="999" ht="15.75" customHeight="1">
      <c r="A999" s="23"/>
      <c r="B999" s="23"/>
      <c r="C999" s="23"/>
      <c r="E999" s="23"/>
    </row>
    <row r="1000" ht="15.75" customHeight="1">
      <c r="A1000" s="23"/>
      <c r="B1000" s="23"/>
      <c r="C1000" s="23"/>
      <c r="E1000" s="23"/>
    </row>
    <row r="1001" ht="15.75" customHeight="1">
      <c r="A1001" s="23"/>
      <c r="B1001" s="23"/>
      <c r="C1001" s="23"/>
      <c r="E1001" s="23"/>
    </row>
  </sheetData>
  <autoFilter ref="$A$1:$E$385"/>
  <customSheetViews>
    <customSheetView guid="{C4B8E6D9-615B-4075-B9AC-ADFFBDD99697}" filter="1" showAutoFilter="1">
      <autoFilter ref="$A$1:$F$385">
        <filterColumn colId="2">
          <filters blank="1">
            <filter val="Ricardo"/>
          </filters>
        </filterColumn>
      </autoFilter>
      <extLst>
        <ext uri="GoogleSheetsCustomDataVersion1">
          <go:sheetsCustomData xmlns:go="http://customooxmlschemas.google.com/" filterViewId="1994907743"/>
        </ext>
      </extLst>
    </customSheetView>
  </customSheetViews>
  <dataValidations>
    <dataValidation type="custom" allowBlank="1" showDropDown="1" showInputMessage="1" showErrorMessage="1" prompt="Esta data não é válida" sqref="B2:B1001">
      <formula1>OR(NOT(ISERROR(DATEVALUE(B2))), AND(ISNUMBER(B2), LEFT(CELL("format", B2))="D"))</formula1>
    </dataValidation>
    <dataValidation type="decimal" allowBlank="1" showDropDown="1" showInputMessage="1" showErrorMessage="1" prompt="Este não é um número válido" sqref="E2:E1001">
      <formula1>0.0</formula1>
      <formula2>5000000.0</formula2>
    </dataValidation>
    <dataValidation type="list" allowBlank="1" showInputMessage="1" showErrorMessage="1" prompt="Esta não é uma etapa válida" sqref="A2:A1001">
      <formula1>'Rateio e Estimativa somente lei'!$B$4:$B$26</formula1>
    </dataValidation>
    <dataValidation type="list" allowBlank="1" showInputMessage="1" showErrorMessage="1" prompt="Este não é um pagador válido" sqref="C2:C1001">
      <formula1>"Ricardo,Adilson,Felipe"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2023-05-31T05:08:48Z</dcterms:created>
</cp:coreProperties>
</file>